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tables/table6.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tables/table7.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6.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rithi\Documents\DATA ANALYTICS LEARNING\"/>
    </mc:Choice>
  </mc:AlternateContent>
  <xr:revisionPtr revIDLastSave="0" documentId="13_ncr:1_{164481DE-13F1-438D-9DC2-6A6BC0DD117C}" xr6:coauthVersionLast="47" xr6:coauthVersionMax="47" xr10:uidLastSave="{00000000-0000-0000-0000-000000000000}"/>
  <bookViews>
    <workbookView xWindow="-108" yWindow="-108" windowWidth="23256" windowHeight="12456" activeTab="13" xr2:uid="{00000000-000D-0000-FFFF-FFFF00000000}"/>
  </bookViews>
  <sheets>
    <sheet name="Data" sheetId="1" r:id="rId1"/>
    <sheet name="Sheet1" sheetId="2" r:id="rId2"/>
    <sheet name="Sheet2" sheetId="3" r:id="rId3"/>
    <sheet name="Sheet3" sheetId="4" r:id="rId4"/>
    <sheet name="Detail1" sheetId="6" state="hidden" r:id="rId5"/>
    <sheet name="Detail2" sheetId="7" state="hidden" r:id="rId6"/>
    <sheet name="Sheet4" sheetId="5" r:id="rId7"/>
    <sheet name="Sheet5" sheetId="8" r:id="rId8"/>
    <sheet name="Sheet6" sheetId="11" r:id="rId9"/>
    <sheet name="Detail3" sheetId="18" state="hidden" r:id="rId10"/>
    <sheet name="Sheet7" sheetId="12" r:id="rId11"/>
    <sheet name="Sheet8" sheetId="13" r:id="rId12"/>
    <sheet name="Sheet9" sheetId="14" r:id="rId13"/>
    <sheet name="Sheet10" sheetId="17" r:id="rId14"/>
  </sheets>
  <definedNames>
    <definedName name="_xlnm._FilterDatabase" localSheetId="0" hidden="1">Data!$C$5:$G$5</definedName>
    <definedName name="_xlnm._FilterDatabase" localSheetId="13" hidden="1">Sheet10!$B$6:$G$29</definedName>
    <definedName name="_xlnm._FilterDatabase" localSheetId="3" hidden="1">Sheet3!$B$6:$E$12</definedName>
    <definedName name="_xlchart.v1.0" hidden="1">Sheet6!$Q$7</definedName>
    <definedName name="_xlchart.v1.1" hidden="1">Sheet6!$Q$8:$Q$307</definedName>
    <definedName name="_xlchart.v1.2" hidden="1">Sheet6!$O$8:$O$307</definedName>
    <definedName name="_xlchart.v1.3" hidden="1">Sheet6!$Q$7</definedName>
    <definedName name="_xlchart.v1.4" hidden="1">Sheet6!$Q$8:$Q$307</definedName>
    <definedName name="_xlcn.WorksheetConnection_EXCELBEGINNERPROJECR1.xlsxdata1" hidden="1">data[]</definedName>
    <definedName name="Slicer_Geography">#N/A</definedName>
    <definedName name="Slicer_Geography1">#N/A</definedName>
    <definedName name="Slicer_Sales_Person">#N/A</definedName>
  </definedNames>
  <calcPr calcId="191029"/>
  <pivotCaches>
    <pivotCache cacheId="0" r:id="rId15"/>
    <pivotCache cacheId="1" r:id="rId16"/>
    <pivotCache cacheId="8" r:id="rId17"/>
    <pivotCache cacheId="11" r:id="rId18"/>
  </pivotCaches>
  <extLst>
    <ext xmlns:x14="http://schemas.microsoft.com/office/spreadsheetml/2009/9/main" uri="{876F7934-8845-4945-9796-88D515C7AA90}">
      <x14:pivotCaches>
        <pivotCache cacheId="4" r:id="rId19"/>
        <pivotCache cacheId="5" r:id="rId20"/>
      </x14:pivotCaches>
    </ext>
    <ext xmlns:x14="http://schemas.microsoft.com/office/spreadsheetml/2009/9/main" uri="{BBE1A952-AA13-448e-AADC-164F8A28A991}">
      <x14:slicerCaches>
        <x14:slicerCache r:id="rId21"/>
        <x14:slicerCache r:id="rId22"/>
        <x14:slicerCache r:id="rId2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data" name="data" connection="WorksheetConnection_EXCEL BEGINNER PROJECR 1.xlsx!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6" i="1" l="1"/>
  <c r="I6" i="1"/>
  <c r="H7" i="1"/>
  <c r="H8" i="1"/>
  <c r="H9" i="1"/>
  <c r="I9" i="1" s="1"/>
  <c r="H10" i="1"/>
  <c r="H11" i="1"/>
  <c r="H12" i="1"/>
  <c r="H13" i="1"/>
  <c r="I13" i="1" s="1"/>
  <c r="H14" i="1"/>
  <c r="H15" i="1"/>
  <c r="H16" i="1"/>
  <c r="H17" i="1"/>
  <c r="I17" i="1" s="1"/>
  <c r="H18" i="1"/>
  <c r="H19" i="1"/>
  <c r="H20" i="1"/>
  <c r="H21" i="1"/>
  <c r="I21" i="1" s="1"/>
  <c r="H22" i="1"/>
  <c r="H23" i="1"/>
  <c r="H24" i="1"/>
  <c r="H25" i="1"/>
  <c r="I25" i="1" s="1"/>
  <c r="H26" i="1"/>
  <c r="H27" i="1"/>
  <c r="H28" i="1"/>
  <c r="H29" i="1"/>
  <c r="I29" i="1" s="1"/>
  <c r="H30" i="1"/>
  <c r="H31" i="1"/>
  <c r="H32" i="1"/>
  <c r="H33" i="1"/>
  <c r="H34" i="1"/>
  <c r="H35" i="1"/>
  <c r="H36" i="1"/>
  <c r="H37" i="1"/>
  <c r="H38" i="1"/>
  <c r="H39" i="1"/>
  <c r="H40" i="1"/>
  <c r="I40" i="1" s="1"/>
  <c r="H41" i="1"/>
  <c r="I41" i="1" s="1"/>
  <c r="H42" i="1"/>
  <c r="H43" i="1"/>
  <c r="H44" i="1"/>
  <c r="H45" i="1"/>
  <c r="I45" i="1" s="1"/>
  <c r="H46" i="1"/>
  <c r="H47" i="1"/>
  <c r="H48" i="1"/>
  <c r="H49" i="1"/>
  <c r="I49" i="1" s="1"/>
  <c r="H50" i="1"/>
  <c r="H51" i="1"/>
  <c r="H52" i="1"/>
  <c r="H53" i="1"/>
  <c r="I53" i="1" s="1"/>
  <c r="H54" i="1"/>
  <c r="H55" i="1"/>
  <c r="H56" i="1"/>
  <c r="H57" i="1"/>
  <c r="I57" i="1" s="1"/>
  <c r="H58" i="1"/>
  <c r="H59" i="1"/>
  <c r="H60" i="1"/>
  <c r="H61" i="1"/>
  <c r="I61" i="1" s="1"/>
  <c r="H62" i="1"/>
  <c r="H63" i="1"/>
  <c r="H64" i="1"/>
  <c r="I64" i="1" s="1"/>
  <c r="H65" i="1"/>
  <c r="H66" i="1"/>
  <c r="H67" i="1"/>
  <c r="H68" i="1"/>
  <c r="H69" i="1"/>
  <c r="H70" i="1"/>
  <c r="H71" i="1"/>
  <c r="H72" i="1"/>
  <c r="I72" i="1" s="1"/>
  <c r="H73" i="1"/>
  <c r="I73" i="1" s="1"/>
  <c r="H74" i="1"/>
  <c r="H75" i="1"/>
  <c r="H76" i="1"/>
  <c r="I76" i="1" s="1"/>
  <c r="H77" i="1"/>
  <c r="I77" i="1" s="1"/>
  <c r="H78" i="1"/>
  <c r="H79" i="1"/>
  <c r="H80" i="1"/>
  <c r="H81" i="1"/>
  <c r="I81" i="1" s="1"/>
  <c r="H82" i="1"/>
  <c r="H83" i="1"/>
  <c r="H84" i="1"/>
  <c r="H85" i="1"/>
  <c r="I85" i="1" s="1"/>
  <c r="H86" i="1"/>
  <c r="H87" i="1"/>
  <c r="H88" i="1"/>
  <c r="H89" i="1"/>
  <c r="I89" i="1" s="1"/>
  <c r="H90" i="1"/>
  <c r="H91" i="1"/>
  <c r="H92" i="1"/>
  <c r="H93" i="1"/>
  <c r="I93" i="1" s="1"/>
  <c r="H94" i="1"/>
  <c r="H95" i="1"/>
  <c r="H96" i="1"/>
  <c r="I96" i="1" s="1"/>
  <c r="H97" i="1"/>
  <c r="H98" i="1"/>
  <c r="H99" i="1"/>
  <c r="H100" i="1"/>
  <c r="H101" i="1"/>
  <c r="H102" i="1"/>
  <c r="H103" i="1"/>
  <c r="H104" i="1"/>
  <c r="I104" i="1" s="1"/>
  <c r="H105" i="1"/>
  <c r="I105" i="1" s="1"/>
  <c r="H106" i="1"/>
  <c r="H107" i="1"/>
  <c r="H108" i="1"/>
  <c r="I108" i="1" s="1"/>
  <c r="H109" i="1"/>
  <c r="I109" i="1" s="1"/>
  <c r="H110" i="1"/>
  <c r="H111" i="1"/>
  <c r="H112" i="1"/>
  <c r="H113" i="1"/>
  <c r="I113" i="1" s="1"/>
  <c r="H114" i="1"/>
  <c r="H115" i="1"/>
  <c r="H116" i="1"/>
  <c r="H117" i="1"/>
  <c r="I117" i="1" s="1"/>
  <c r="H118" i="1"/>
  <c r="H119" i="1"/>
  <c r="H120" i="1"/>
  <c r="H121" i="1"/>
  <c r="I121" i="1" s="1"/>
  <c r="H122" i="1"/>
  <c r="H123" i="1"/>
  <c r="H124" i="1"/>
  <c r="H125" i="1"/>
  <c r="I125" i="1" s="1"/>
  <c r="H126" i="1"/>
  <c r="H127" i="1"/>
  <c r="H128" i="1"/>
  <c r="I128" i="1" s="1"/>
  <c r="H129" i="1"/>
  <c r="H130" i="1"/>
  <c r="H131" i="1"/>
  <c r="H132" i="1"/>
  <c r="H133" i="1"/>
  <c r="H134" i="1"/>
  <c r="H135" i="1"/>
  <c r="H136" i="1"/>
  <c r="I136" i="1" s="1"/>
  <c r="H137" i="1"/>
  <c r="I137" i="1" s="1"/>
  <c r="H138" i="1"/>
  <c r="H139" i="1"/>
  <c r="H140" i="1"/>
  <c r="I140" i="1" s="1"/>
  <c r="H141" i="1"/>
  <c r="I141" i="1" s="1"/>
  <c r="H142" i="1"/>
  <c r="H143" i="1"/>
  <c r="H144" i="1"/>
  <c r="H145" i="1"/>
  <c r="I145" i="1" s="1"/>
  <c r="H146" i="1"/>
  <c r="H147" i="1"/>
  <c r="H148" i="1"/>
  <c r="H149" i="1"/>
  <c r="I149" i="1" s="1"/>
  <c r="H150" i="1"/>
  <c r="H151" i="1"/>
  <c r="H152" i="1"/>
  <c r="H153" i="1"/>
  <c r="I153" i="1" s="1"/>
  <c r="H154" i="1"/>
  <c r="H155" i="1"/>
  <c r="H156" i="1"/>
  <c r="H157" i="1"/>
  <c r="I157" i="1" s="1"/>
  <c r="H158" i="1"/>
  <c r="H159" i="1"/>
  <c r="H160" i="1"/>
  <c r="I160" i="1" s="1"/>
  <c r="H161" i="1"/>
  <c r="H162" i="1"/>
  <c r="H163" i="1"/>
  <c r="H164" i="1"/>
  <c r="H165" i="1"/>
  <c r="H166" i="1"/>
  <c r="H167" i="1"/>
  <c r="H168" i="1"/>
  <c r="I168" i="1" s="1"/>
  <c r="H169" i="1"/>
  <c r="I169" i="1" s="1"/>
  <c r="H170" i="1"/>
  <c r="H171" i="1"/>
  <c r="H172" i="1"/>
  <c r="I172" i="1" s="1"/>
  <c r="H173" i="1"/>
  <c r="I173" i="1" s="1"/>
  <c r="H174" i="1"/>
  <c r="H175" i="1"/>
  <c r="H176" i="1"/>
  <c r="H177" i="1"/>
  <c r="I177" i="1" s="1"/>
  <c r="H178" i="1"/>
  <c r="H179" i="1"/>
  <c r="H180" i="1"/>
  <c r="H181" i="1"/>
  <c r="I181" i="1" s="1"/>
  <c r="H182" i="1"/>
  <c r="H183" i="1"/>
  <c r="H184" i="1"/>
  <c r="I184" i="1" s="1"/>
  <c r="H185" i="1"/>
  <c r="H186" i="1"/>
  <c r="H187" i="1"/>
  <c r="H188" i="1"/>
  <c r="I188" i="1" s="1"/>
  <c r="H189" i="1"/>
  <c r="I189" i="1" s="1"/>
  <c r="H190" i="1"/>
  <c r="H191" i="1"/>
  <c r="H192" i="1"/>
  <c r="H193" i="1"/>
  <c r="I193" i="1" s="1"/>
  <c r="H194" i="1"/>
  <c r="H195" i="1"/>
  <c r="H196" i="1"/>
  <c r="H197" i="1"/>
  <c r="I197" i="1" s="1"/>
  <c r="H198" i="1"/>
  <c r="H199" i="1"/>
  <c r="H200" i="1"/>
  <c r="I200" i="1" s="1"/>
  <c r="H201" i="1"/>
  <c r="H202" i="1"/>
  <c r="H203" i="1"/>
  <c r="H204" i="1"/>
  <c r="I204" i="1" s="1"/>
  <c r="H205" i="1"/>
  <c r="I205" i="1" s="1"/>
  <c r="H206" i="1"/>
  <c r="H207" i="1"/>
  <c r="H208" i="1"/>
  <c r="H209" i="1"/>
  <c r="I209" i="1" s="1"/>
  <c r="H210" i="1"/>
  <c r="H211" i="1"/>
  <c r="H212" i="1"/>
  <c r="I212" i="1" s="1"/>
  <c r="H213" i="1"/>
  <c r="H214" i="1"/>
  <c r="H215" i="1"/>
  <c r="H216" i="1"/>
  <c r="I216" i="1" s="1"/>
  <c r="H217" i="1"/>
  <c r="I217" i="1" s="1"/>
  <c r="H218" i="1"/>
  <c r="H219" i="1"/>
  <c r="H220" i="1"/>
  <c r="H221" i="1"/>
  <c r="I221" i="1" s="1"/>
  <c r="H222" i="1"/>
  <c r="H223" i="1"/>
  <c r="H224" i="1"/>
  <c r="I224" i="1" s="1"/>
  <c r="H225" i="1"/>
  <c r="H226" i="1"/>
  <c r="H227" i="1"/>
  <c r="H228" i="1"/>
  <c r="H229" i="1"/>
  <c r="I229" i="1" s="1"/>
  <c r="H230" i="1"/>
  <c r="H231" i="1"/>
  <c r="H232" i="1"/>
  <c r="H233" i="1"/>
  <c r="I233" i="1" s="1"/>
  <c r="H234" i="1"/>
  <c r="H235" i="1"/>
  <c r="H236" i="1"/>
  <c r="I236" i="1" s="1"/>
  <c r="H237" i="1"/>
  <c r="I237" i="1" s="1"/>
  <c r="H238" i="1"/>
  <c r="H239" i="1"/>
  <c r="H240" i="1"/>
  <c r="H241" i="1"/>
  <c r="I241" i="1" s="1"/>
  <c r="H242" i="1"/>
  <c r="H243" i="1"/>
  <c r="H244" i="1"/>
  <c r="I244" i="1" s="1"/>
  <c r="H245" i="1"/>
  <c r="H246" i="1"/>
  <c r="H247" i="1"/>
  <c r="H248" i="1"/>
  <c r="I248" i="1" s="1"/>
  <c r="H249" i="1"/>
  <c r="I249" i="1" s="1"/>
  <c r="H250" i="1"/>
  <c r="H251" i="1"/>
  <c r="H252" i="1"/>
  <c r="H253" i="1"/>
  <c r="I253" i="1" s="1"/>
  <c r="H254" i="1"/>
  <c r="H255" i="1"/>
  <c r="H256" i="1"/>
  <c r="I256" i="1" s="1"/>
  <c r="H257" i="1"/>
  <c r="H258" i="1"/>
  <c r="H259" i="1"/>
  <c r="H260" i="1"/>
  <c r="H261" i="1"/>
  <c r="I261" i="1" s="1"/>
  <c r="H262" i="1"/>
  <c r="H263" i="1"/>
  <c r="H264" i="1"/>
  <c r="H265" i="1"/>
  <c r="I265" i="1" s="1"/>
  <c r="H266" i="1"/>
  <c r="H267" i="1"/>
  <c r="H268" i="1"/>
  <c r="I268" i="1" s="1"/>
  <c r="H269" i="1"/>
  <c r="I269" i="1" s="1"/>
  <c r="H270" i="1"/>
  <c r="H271" i="1"/>
  <c r="H272" i="1"/>
  <c r="H273" i="1"/>
  <c r="H274" i="1"/>
  <c r="H275" i="1"/>
  <c r="H276" i="1"/>
  <c r="I276" i="1" s="1"/>
  <c r="H277" i="1"/>
  <c r="I277" i="1" s="1"/>
  <c r="H278" i="1"/>
  <c r="H279" i="1"/>
  <c r="H280" i="1"/>
  <c r="I280" i="1" s="1"/>
  <c r="H281" i="1"/>
  <c r="I281" i="1" s="1"/>
  <c r="H282" i="1"/>
  <c r="H283" i="1"/>
  <c r="H284" i="1"/>
  <c r="I284" i="1" s="1"/>
  <c r="H285" i="1"/>
  <c r="I285" i="1" s="1"/>
  <c r="H286" i="1"/>
  <c r="H287" i="1"/>
  <c r="H288" i="1"/>
  <c r="I288" i="1" s="1"/>
  <c r="H289" i="1"/>
  <c r="I289" i="1" s="1"/>
  <c r="H290" i="1"/>
  <c r="H291" i="1"/>
  <c r="H292" i="1"/>
  <c r="I292" i="1" s="1"/>
  <c r="H293" i="1"/>
  <c r="I293" i="1" s="1"/>
  <c r="H294" i="1"/>
  <c r="H295" i="1"/>
  <c r="H296" i="1"/>
  <c r="I296" i="1" s="1"/>
  <c r="H297" i="1"/>
  <c r="I297" i="1" s="1"/>
  <c r="H298" i="1"/>
  <c r="H299" i="1"/>
  <c r="H300" i="1"/>
  <c r="I300" i="1" s="1"/>
  <c r="H301" i="1"/>
  <c r="I301" i="1" s="1"/>
  <c r="H302" i="1"/>
  <c r="H303" i="1"/>
  <c r="H304" i="1"/>
  <c r="I304" i="1" s="1"/>
  <c r="H305" i="1"/>
  <c r="I305" i="1" s="1"/>
  <c r="I32" i="1"/>
  <c r="I48" i="1"/>
  <c r="I56" i="1"/>
  <c r="I80" i="1"/>
  <c r="I88" i="1"/>
  <c r="I112" i="1"/>
  <c r="I120" i="1"/>
  <c r="I144" i="1"/>
  <c r="I152" i="1"/>
  <c r="I176" i="1"/>
  <c r="I180" i="1"/>
  <c r="I192" i="1"/>
  <c r="I196" i="1"/>
  <c r="I208" i="1"/>
  <c r="I211" i="1"/>
  <c r="I219" i="1"/>
  <c r="I220" i="1"/>
  <c r="I227" i="1"/>
  <c r="I228" i="1"/>
  <c r="I232" i="1"/>
  <c r="I235" i="1"/>
  <c r="I240" i="1"/>
  <c r="I243" i="1"/>
  <c r="I251" i="1"/>
  <c r="I252" i="1"/>
  <c r="I259" i="1"/>
  <c r="I260" i="1"/>
  <c r="I264" i="1"/>
  <c r="I267" i="1"/>
  <c r="I272" i="1"/>
  <c r="I273" i="1"/>
  <c r="I275" i="1"/>
  <c r="I278" i="1"/>
  <c r="I279" i="1"/>
  <c r="I282" i="1"/>
  <c r="I283" i="1"/>
  <c r="I286" i="1"/>
  <c r="I287" i="1"/>
  <c r="I290" i="1"/>
  <c r="I291" i="1"/>
  <c r="I294" i="1"/>
  <c r="I295" i="1"/>
  <c r="I298" i="1"/>
  <c r="I299" i="1"/>
  <c r="I302" i="1"/>
  <c r="I303" i="1"/>
  <c r="E12" i="14"/>
  <c r="D8" i="2"/>
  <c r="D7" i="2"/>
  <c r="E7" i="2"/>
  <c r="E15" i="14"/>
  <c r="D15" i="14"/>
  <c r="D12" i="14"/>
  <c r="E11" i="4"/>
  <c r="C7" i="4"/>
  <c r="D7" i="4" s="1"/>
  <c r="F16" i="2"/>
  <c r="I10" i="14"/>
  <c r="K10" i="14" s="1"/>
  <c r="J11" i="14"/>
  <c r="J12" i="14"/>
  <c r="J13" i="14"/>
  <c r="J14" i="14"/>
  <c r="J15" i="14"/>
  <c r="J16" i="14"/>
  <c r="J17" i="14"/>
  <c r="J18" i="14"/>
  <c r="J19" i="14"/>
  <c r="J10" i="14"/>
  <c r="I11" i="14"/>
  <c r="K11" i="14" s="1"/>
  <c r="I12" i="14"/>
  <c r="K12" i="14" s="1"/>
  <c r="I13" i="14"/>
  <c r="K13" i="14" s="1"/>
  <c r="I14" i="14"/>
  <c r="K14" i="14" s="1"/>
  <c r="I15" i="14"/>
  <c r="K15" i="14" s="1"/>
  <c r="I16" i="14"/>
  <c r="K16" i="14" s="1"/>
  <c r="I17" i="14"/>
  <c r="K17" i="14" s="1"/>
  <c r="I18" i="14"/>
  <c r="K18" i="14" s="1"/>
  <c r="I19" i="14"/>
  <c r="K19" i="14" s="1"/>
  <c r="E9" i="14"/>
  <c r="I7" i="1"/>
  <c r="I8" i="1"/>
  <c r="I10" i="1"/>
  <c r="I11" i="1"/>
  <c r="I12" i="1"/>
  <c r="I14" i="1"/>
  <c r="I15" i="1"/>
  <c r="I16" i="1"/>
  <c r="I18" i="1"/>
  <c r="I19" i="1"/>
  <c r="I20" i="1"/>
  <c r="I22" i="1"/>
  <c r="I23" i="1"/>
  <c r="I24" i="1"/>
  <c r="I26" i="1"/>
  <c r="I27" i="1"/>
  <c r="I28" i="1"/>
  <c r="I30" i="1"/>
  <c r="I31" i="1"/>
  <c r="I33" i="1"/>
  <c r="I34" i="1"/>
  <c r="I35" i="1"/>
  <c r="I36" i="1"/>
  <c r="I37" i="1"/>
  <c r="I38" i="1"/>
  <c r="I39" i="1"/>
  <c r="I42" i="1"/>
  <c r="I43" i="1"/>
  <c r="I44" i="1"/>
  <c r="I46" i="1"/>
  <c r="I47" i="1"/>
  <c r="I50" i="1"/>
  <c r="I51" i="1"/>
  <c r="I52" i="1"/>
  <c r="I54" i="1"/>
  <c r="I55" i="1"/>
  <c r="I58" i="1"/>
  <c r="I59" i="1"/>
  <c r="I60" i="1"/>
  <c r="I62" i="1"/>
  <c r="I63" i="1"/>
  <c r="I65" i="1"/>
  <c r="I66" i="1"/>
  <c r="I67" i="1"/>
  <c r="I68" i="1"/>
  <c r="I69" i="1"/>
  <c r="I70" i="1"/>
  <c r="I71" i="1"/>
  <c r="I74" i="1"/>
  <c r="I75" i="1"/>
  <c r="I78" i="1"/>
  <c r="I79" i="1"/>
  <c r="I82" i="1"/>
  <c r="I83" i="1"/>
  <c r="I84" i="1"/>
  <c r="I86" i="1"/>
  <c r="I87" i="1"/>
  <c r="I90" i="1"/>
  <c r="I91" i="1"/>
  <c r="I92" i="1"/>
  <c r="I94" i="1"/>
  <c r="I95" i="1"/>
  <c r="I97" i="1"/>
  <c r="I98" i="1"/>
  <c r="I99" i="1"/>
  <c r="I100" i="1"/>
  <c r="I101" i="1"/>
  <c r="I102" i="1"/>
  <c r="I103" i="1"/>
  <c r="I106" i="1"/>
  <c r="I107" i="1"/>
  <c r="I110" i="1"/>
  <c r="I111" i="1"/>
  <c r="I114" i="1"/>
  <c r="I115" i="1"/>
  <c r="I116" i="1"/>
  <c r="I118" i="1"/>
  <c r="I119" i="1"/>
  <c r="I122" i="1"/>
  <c r="I123" i="1"/>
  <c r="I124" i="1"/>
  <c r="I126" i="1"/>
  <c r="I127" i="1"/>
  <c r="I129" i="1"/>
  <c r="I130" i="1"/>
  <c r="I131" i="1"/>
  <c r="I132" i="1"/>
  <c r="I133" i="1"/>
  <c r="I134" i="1"/>
  <c r="I135" i="1"/>
  <c r="I138" i="1"/>
  <c r="I139" i="1"/>
  <c r="I142" i="1"/>
  <c r="I143" i="1"/>
  <c r="I146" i="1"/>
  <c r="I147" i="1"/>
  <c r="I148" i="1"/>
  <c r="I150" i="1"/>
  <c r="I151" i="1"/>
  <c r="I154" i="1"/>
  <c r="I155" i="1"/>
  <c r="I156" i="1"/>
  <c r="I158" i="1"/>
  <c r="I159" i="1"/>
  <c r="I161" i="1"/>
  <c r="I162" i="1"/>
  <c r="I163" i="1"/>
  <c r="I164" i="1"/>
  <c r="I165" i="1"/>
  <c r="I166" i="1"/>
  <c r="I167" i="1"/>
  <c r="I170" i="1"/>
  <c r="I171" i="1"/>
  <c r="I174" i="1"/>
  <c r="I175" i="1"/>
  <c r="I178" i="1"/>
  <c r="I179" i="1"/>
  <c r="I182" i="1"/>
  <c r="I183" i="1"/>
  <c r="I185" i="1"/>
  <c r="I186" i="1"/>
  <c r="I187" i="1"/>
  <c r="I190" i="1"/>
  <c r="I191" i="1"/>
  <c r="I194" i="1"/>
  <c r="I195" i="1"/>
  <c r="I198" i="1"/>
  <c r="I199" i="1"/>
  <c r="I201" i="1"/>
  <c r="I202" i="1"/>
  <c r="I203" i="1"/>
  <c r="I206" i="1"/>
  <c r="I207" i="1"/>
  <c r="I210" i="1"/>
  <c r="I213" i="1"/>
  <c r="I214" i="1"/>
  <c r="I215" i="1"/>
  <c r="I218" i="1"/>
  <c r="I222" i="1"/>
  <c r="I223" i="1"/>
  <c r="I225" i="1"/>
  <c r="I226" i="1"/>
  <c r="I230" i="1"/>
  <c r="I231" i="1"/>
  <c r="I234" i="1"/>
  <c r="I238" i="1"/>
  <c r="I239" i="1"/>
  <c r="I242" i="1"/>
  <c r="I245" i="1"/>
  <c r="I246" i="1"/>
  <c r="I247" i="1"/>
  <c r="I250" i="1"/>
  <c r="I254" i="1"/>
  <c r="I255" i="1"/>
  <c r="I257" i="1"/>
  <c r="I258" i="1"/>
  <c r="I262" i="1"/>
  <c r="I263" i="1"/>
  <c r="I266" i="1"/>
  <c r="I270" i="1"/>
  <c r="I271" i="1"/>
  <c r="I274" i="1"/>
  <c r="D9" i="2"/>
  <c r="E7" i="4"/>
  <c r="E8" i="4"/>
  <c r="E9" i="4"/>
  <c r="E10" i="4"/>
  <c r="E12" i="4"/>
  <c r="C12" i="4"/>
  <c r="D12" i="4" s="1"/>
  <c r="C11" i="4"/>
  <c r="D11" i="4" s="1"/>
  <c r="C10" i="4"/>
  <c r="D10" i="4" s="1"/>
  <c r="C9" i="4"/>
  <c r="D9" i="4" s="1"/>
  <c r="C8" i="4"/>
  <c r="D8" i="4" s="1"/>
  <c r="H7" i="4" a="1"/>
  <c r="H7" i="4" s="1"/>
  <c r="E14" i="2"/>
  <c r="D14" i="2"/>
  <c r="E13" i="2"/>
  <c r="D13" i="2"/>
  <c r="E10" i="2"/>
  <c r="D10" i="2"/>
  <c r="E9" i="2"/>
  <c r="E8" i="2"/>
  <c r="E13" i="14" l="1"/>
  <c r="D14" i="14"/>
  <c r="E14" i="14"/>
  <c r="D13" i="14"/>
  <c r="D11" i="2"/>
  <c r="E11" i="2"/>
  <c r="J9" i="4"/>
  <c r="J11" i="4"/>
  <c r="I10" i="4"/>
  <c r="I12" i="4"/>
  <c r="I9" i="4"/>
  <c r="J8" i="4"/>
  <c r="J10" i="4"/>
  <c r="I8" i="4"/>
  <c r="I11" i="4"/>
  <c r="J12" i="4"/>
  <c r="I7" i="4"/>
  <c r="J7"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4CA6175-690B-4059-9BD2-CD3F0073AE2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6B8F641-B2EF-4A1A-8246-0179F09BCA2B}" name="WorksheetConnection_EXCEL BEGINNER PROJECR 1.xlsx!data" type="102" refreshedVersion="8" minRefreshableVersion="5">
    <extLst>
      <ext xmlns:x15="http://schemas.microsoft.com/office/spreadsheetml/2010/11/main" uri="{DE250136-89BD-433C-8126-D09CA5730AF9}">
        <x15:connection id="data" autoDelete="1">
          <x15:rangePr sourceName="_xlcn.WorksheetConnection_EXCELBEGINNERPROJECR1.xlsxdata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<sst xmlns="http://schemas.openxmlformats.org/spreadsheetml/2006/main" count="4027" uniqueCount="105">
  <si>
    <t>Sales Person</t>
  </si>
  <si>
    <t>Geography</t>
  </si>
  <si>
    <t>Product</t>
  </si>
  <si>
    <t>Amount</t>
  </si>
  <si>
    <t>Units</t>
  </si>
  <si>
    <t>Questions</t>
  </si>
  <si>
    <t>Cost per unit</t>
  </si>
  <si>
    <t>Ram Mahesh</t>
  </si>
  <si>
    <t>New Zealand</t>
  </si>
  <si>
    <t>70% Dark Bites</t>
  </si>
  <si>
    <t>Quick statistics</t>
  </si>
  <si>
    <t>Milk Bars</t>
  </si>
  <si>
    <t>Brien Boise</t>
  </si>
  <si>
    <t>USA</t>
  </si>
  <si>
    <t>Choco Coated Almonds</t>
  </si>
  <si>
    <t>Exploratory Data Analysis (EDA) with CF</t>
  </si>
  <si>
    <t>50% Dark Bites</t>
  </si>
  <si>
    <t>Husein Augar</t>
  </si>
  <si>
    <t>Almond Choco</t>
  </si>
  <si>
    <t>Sales by country (with formulas)</t>
  </si>
  <si>
    <t>Carla Molina</t>
  </si>
  <si>
    <t>Canada</t>
  </si>
  <si>
    <t>Drinking Coco</t>
  </si>
  <si>
    <t>Sales by country (with pivots)</t>
  </si>
  <si>
    <t>Raspberry Choco</t>
  </si>
  <si>
    <t>Curtice Advani</t>
  </si>
  <si>
    <t>UK</t>
  </si>
  <si>
    <t>White Choc</t>
  </si>
  <si>
    <t>Top 5 products by $ per unit</t>
  </si>
  <si>
    <t>Mint Chip Choco</t>
  </si>
  <si>
    <t>Peanut Butter Cubes</t>
  </si>
  <si>
    <t>Are there any anomalies in the data?</t>
  </si>
  <si>
    <t>Eclairs</t>
  </si>
  <si>
    <t>Australia</t>
  </si>
  <si>
    <t>Smooth Sliky Salty</t>
  </si>
  <si>
    <t>Best Sales person by country</t>
  </si>
  <si>
    <t>After Nines</t>
  </si>
  <si>
    <t>Profits by product (using products table) - See column Y</t>
  </si>
  <si>
    <t>99% Dark &amp; Pure</t>
  </si>
  <si>
    <t>Ches Bonnell</t>
  </si>
  <si>
    <t>Dynamic country-level Sales Report</t>
  </si>
  <si>
    <t>Orange Choco</t>
  </si>
  <si>
    <t>Gigi Bohling</t>
  </si>
  <si>
    <t>Which products to discontinue?</t>
  </si>
  <si>
    <t>Spicy Special Slims</t>
  </si>
  <si>
    <t>Barr Faughny</t>
  </si>
  <si>
    <t>Gunar Cockshoot</t>
  </si>
  <si>
    <t>Fruit &amp; Nut Bars</t>
  </si>
  <si>
    <t>85% Dark Bars</t>
  </si>
  <si>
    <t>India</t>
  </si>
  <si>
    <t>Baker's Choco Chips</t>
  </si>
  <si>
    <t>Manuka Honey Choco</t>
  </si>
  <si>
    <t>Organic Choco Syrup</t>
  </si>
  <si>
    <t>Caramel Stuffed Bars</t>
  </si>
  <si>
    <t>Oby Sorrel</t>
  </si>
  <si>
    <t>Amounts</t>
  </si>
  <si>
    <t>Average</t>
  </si>
  <si>
    <t>First Q</t>
  </si>
  <si>
    <t>Third Q</t>
  </si>
  <si>
    <t>Distint count of products</t>
  </si>
  <si>
    <t>2. EXPLORATORY DATA ANALYSIS (EDA) WITH CF</t>
  </si>
  <si>
    <t xml:space="preserve"> </t>
  </si>
  <si>
    <t>3.SALES BY COUNTRY ( WITH FORMULAS)</t>
  </si>
  <si>
    <t>Countries</t>
  </si>
  <si>
    <t>INDIA</t>
  </si>
  <si>
    <t>CANADA</t>
  </si>
  <si>
    <t>NEW ZEALAND</t>
  </si>
  <si>
    <t>AUSTRALIA</t>
  </si>
  <si>
    <t>Row Labels</t>
  </si>
  <si>
    <t>Sum of Amount</t>
  </si>
  <si>
    <t>Sum of Units</t>
  </si>
  <si>
    <t>Details for Sum of Amount</t>
  </si>
  <si>
    <t>Details for Sum of Amount - Geography: India</t>
  </si>
  <si>
    <t>5. TOP 5 PRODUCTS by $ per unit</t>
  </si>
  <si>
    <t>Grand Total</t>
  </si>
  <si>
    <t>Sales per unit</t>
  </si>
  <si>
    <t>6. Are there any anamolies in the data?</t>
  </si>
  <si>
    <t>cost</t>
  </si>
  <si>
    <t>8. Profit by product (using products table)</t>
  </si>
  <si>
    <t>Total Profit</t>
  </si>
  <si>
    <t>9. Dynamic country-level Sales Report</t>
  </si>
  <si>
    <t>Pick a Country</t>
  </si>
  <si>
    <t>Quick Summary</t>
  </si>
  <si>
    <t>Number of Transactions</t>
  </si>
  <si>
    <t>Total</t>
  </si>
  <si>
    <t>Sales</t>
  </si>
  <si>
    <t>Cost</t>
  </si>
  <si>
    <t>Profit</t>
  </si>
  <si>
    <t>Quantity</t>
  </si>
  <si>
    <t>By Sales person</t>
  </si>
  <si>
    <t>10. Which products to discontinue?</t>
  </si>
  <si>
    <t>Profit%</t>
  </si>
  <si>
    <t>EXCEL MINI PROJECT 1</t>
  </si>
  <si>
    <t>Min</t>
  </si>
  <si>
    <t>Max</t>
  </si>
  <si>
    <t>Median</t>
  </si>
  <si>
    <t>Range</t>
  </si>
  <si>
    <t>Max-Min=</t>
  </si>
  <si>
    <t>Highest Revenue Contributor by Country</t>
  </si>
  <si>
    <t>Lowest Revenue Contributor by Country</t>
  </si>
  <si>
    <t>7.Sales Person Performance by Country</t>
  </si>
  <si>
    <t>Result</t>
  </si>
  <si>
    <t>1. QUICK ANALYSIS</t>
  </si>
  <si>
    <t>4. SALES BY COUNTRY (WITH PIVOTS)</t>
  </si>
  <si>
    <t>Details for Sum of Amount - Sales Person: Carla Molina, Geography: Australia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</si>
</sst>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409]#,##0.00;\-[$$-409]#,##0.00"/>
    <numFmt numFmtId="165" formatCode="[$$-1409]#,##0.00;[Red]\-[$$-1409]#,##0.00"/>
    <numFmt numFmtId="166" formatCode="&quot;$&quot;#,##0_);[Red]\(&quot;$&quot;#,##0\)"/>
    <numFmt numFmtId="167" formatCode="&quot;$&quot;#,##0.00_);[Red]\(&quot;$&quot;#,##0.00\)"/>
    <numFmt numFmtId="168" formatCode="[$$-409]#,##0.00"/>
    <numFmt numFmtId="169" formatCode="[$$-409]#,##0;[Red][$$-409]#,##0"/>
    <numFmt numFmtId="170" formatCode="[$$-409]#,##0"/>
    <numFmt numFmtId="171" formatCode="0.0%;\-0.0%;0.0%"/>
  </numFmts>
  <fonts count="25">
    <font>
      <sz val="11"/>
      <color theme="1"/>
      <name val="Calibri"/>
      <charset val="134"/>
      <scheme val="minor"/>
    </font>
    <font>
      <sz val="11"/>
      <color theme="1"/>
      <name val="Calibri"/>
      <family val="2"/>
      <scheme val="minor"/>
    </font>
    <font>
      <b/>
      <sz val="11"/>
      <color theme="1"/>
      <name val="Calibri"/>
      <charset val="134"/>
      <scheme val="minor"/>
    </font>
    <font>
      <sz val="11"/>
      <color theme="1"/>
      <name val="Calibri"/>
      <family val="2"/>
    </font>
    <font>
      <b/>
      <sz val="11"/>
      <color theme="1"/>
      <name val="Calibri"/>
      <family val="2"/>
    </font>
    <font>
      <b/>
      <sz val="11"/>
      <color theme="1"/>
      <name val="Calibri"/>
      <family val="2"/>
      <scheme val="minor"/>
    </font>
    <font>
      <sz val="11"/>
      <color theme="1"/>
      <name val="Calibri"/>
      <family val="2"/>
      <scheme val="minor"/>
    </font>
    <font>
      <sz val="11"/>
      <color theme="1"/>
      <name val="Cambria"/>
      <family val="1"/>
    </font>
    <font>
      <sz val="11"/>
      <color theme="1"/>
      <name val="Arial"/>
      <family val="2"/>
    </font>
    <font>
      <sz val="11"/>
      <color theme="1"/>
      <name val="Bahnschrift"/>
      <family val="2"/>
    </font>
    <font>
      <sz val="11"/>
      <color theme="1"/>
      <name val="Calibri"/>
      <charset val="134"/>
      <scheme val="minor"/>
    </font>
    <font>
      <b/>
      <sz val="11"/>
      <color theme="0"/>
      <name val="Calibri"/>
      <family val="2"/>
    </font>
    <font>
      <b/>
      <sz val="26"/>
      <color theme="0"/>
      <name val="Calibri"/>
      <family val="2"/>
    </font>
    <font>
      <b/>
      <sz val="28"/>
      <color theme="0"/>
      <name val="Calibri"/>
      <family val="2"/>
    </font>
    <font>
      <sz val="36"/>
      <color theme="0"/>
      <name val="Calibri"/>
      <family val="2"/>
    </font>
    <font>
      <b/>
      <sz val="11"/>
      <color theme="0"/>
      <name val="Calibri"/>
      <family val="2"/>
      <scheme val="minor"/>
    </font>
    <font>
      <sz val="11"/>
      <color theme="0" tint="-0.499984740745262"/>
      <name val="Calibri"/>
      <family val="2"/>
    </font>
    <font>
      <b/>
      <sz val="28"/>
      <color theme="0"/>
      <name val="Calibri"/>
      <family val="2"/>
      <scheme val="minor"/>
    </font>
    <font>
      <sz val="28"/>
      <color theme="0"/>
      <name val="Calibri"/>
      <family val="2"/>
    </font>
    <font>
      <sz val="11"/>
      <color theme="0"/>
      <name val="Calibri"/>
      <family val="2"/>
    </font>
    <font>
      <sz val="11"/>
      <color theme="0"/>
      <name val="Bahnschrift"/>
      <family val="2"/>
    </font>
    <font>
      <i/>
      <sz val="11"/>
      <color theme="1"/>
      <name val="Calibri"/>
      <family val="2"/>
      <scheme val="minor"/>
    </font>
    <font>
      <b/>
      <sz val="11"/>
      <color theme="1"/>
      <name val="Calibri"/>
      <family val="2"/>
      <charset val="134"/>
      <scheme val="minor"/>
    </font>
    <font>
      <sz val="22"/>
      <color theme="0"/>
      <name val="Calibri"/>
      <family val="2"/>
    </font>
    <font>
      <b/>
      <sz val="24"/>
      <color theme="0"/>
      <name val="Calibri"/>
      <family val="2"/>
    </font>
  </fonts>
  <fills count="8">
    <fill>
      <patternFill patternType="none"/>
    </fill>
    <fill>
      <patternFill patternType="gray125"/>
    </fill>
    <fill>
      <patternFill patternType="solid">
        <fgColor theme="7" tint="0.39997558519241921"/>
        <bgColor indexed="64"/>
      </patternFill>
    </fill>
    <fill>
      <patternFill patternType="solid">
        <fgColor theme="2"/>
        <bgColor indexed="64"/>
      </patternFill>
    </fill>
    <fill>
      <patternFill patternType="solid">
        <fgColor theme="0"/>
        <bgColor indexed="64"/>
      </patternFill>
    </fill>
    <fill>
      <patternFill patternType="solid">
        <fgColor rgb="FFC00000"/>
        <bgColor indexed="64"/>
      </patternFill>
    </fill>
    <fill>
      <patternFill patternType="solid">
        <fgColor rgb="FFBE0A06"/>
        <bgColor indexed="64"/>
      </patternFill>
    </fill>
    <fill>
      <patternFill patternType="solid">
        <fgColor theme="5" tint="0.59999389629810485"/>
        <bgColor indexed="64"/>
      </patternFill>
    </fill>
  </fills>
  <borders count="24">
    <border>
      <left/>
      <right/>
      <top/>
      <bottom/>
      <diagonal/>
    </border>
    <border>
      <left/>
      <right/>
      <top style="dotted">
        <color theme="0" tint="-0.24994659260841701"/>
      </top>
      <bottom style="dotted">
        <color theme="0" tint="-0.24994659260841701"/>
      </bottom>
      <diagonal/>
    </border>
    <border>
      <left style="medium">
        <color indexed="64"/>
      </left>
      <right style="medium">
        <color indexed="64"/>
      </right>
      <top style="medium">
        <color indexed="64"/>
      </top>
      <bottom style="medium">
        <color indexed="64"/>
      </bottom>
      <diagonal/>
    </border>
    <border>
      <left/>
      <right/>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bottom/>
      <diagonal/>
    </border>
    <border>
      <left style="medium">
        <color indexed="64"/>
      </left>
      <right/>
      <top style="medium">
        <color indexed="64"/>
      </top>
      <bottom style="dotted">
        <color theme="0" tint="-0.24994659260841701"/>
      </bottom>
      <diagonal/>
    </border>
    <border>
      <left/>
      <right/>
      <top style="medium">
        <color indexed="64"/>
      </top>
      <bottom style="dotted">
        <color theme="0" tint="-0.24994659260841701"/>
      </bottom>
      <diagonal/>
    </border>
    <border>
      <left style="medium">
        <color indexed="64"/>
      </left>
      <right/>
      <top style="dotted">
        <color theme="0" tint="-0.24994659260841701"/>
      </top>
      <bottom style="dotted">
        <color theme="0" tint="-0.24994659260841701"/>
      </bottom>
      <diagonal/>
    </border>
    <border>
      <left style="medium">
        <color indexed="64"/>
      </left>
      <right/>
      <top style="dotted">
        <color theme="0" tint="-0.24994659260841701"/>
      </top>
      <bottom style="medium">
        <color indexed="64"/>
      </bottom>
      <diagonal/>
    </border>
    <border>
      <left/>
      <right/>
      <top style="dotted">
        <color theme="0" tint="-0.24994659260841701"/>
      </top>
      <bottom style="medium">
        <color indexed="64"/>
      </bottom>
      <diagonal/>
    </border>
  </borders>
  <cellStyleXfs count="3">
    <xf numFmtId="0" fontId="0" fillId="0" borderId="0"/>
    <xf numFmtId="0" fontId="9" fillId="2" borderId="0"/>
    <xf numFmtId="9" fontId="10" fillId="0" borderId="0" applyFont="0" applyFill="0" applyBorder="0" applyAlignment="0" applyProtection="0"/>
  </cellStyleXfs>
  <cellXfs count="173">
    <xf numFmtId="0" fontId="0" fillId="0" borderId="0" xfId="0"/>
    <xf numFmtId="0" fontId="3" fillId="0" borderId="0" xfId="0" applyFont="1"/>
    <xf numFmtId="3" fontId="3" fillId="0" borderId="0" xfId="0" applyNumberFormat="1" applyFont="1"/>
    <xf numFmtId="165" fontId="3" fillId="0" borderId="0" xfId="0" applyNumberFormat="1" applyFont="1"/>
    <xf numFmtId="166" fontId="3" fillId="0" borderId="0" xfId="0" applyNumberFormat="1" applyFont="1"/>
    <xf numFmtId="168" fontId="3" fillId="0" borderId="0" xfId="0" applyNumberFormat="1" applyFont="1"/>
    <xf numFmtId="0" fontId="3" fillId="4" borderId="0" xfId="0" applyFont="1" applyFill="1"/>
    <xf numFmtId="168" fontId="3" fillId="4" borderId="0" xfId="0" applyNumberFormat="1" applyFont="1" applyFill="1"/>
    <xf numFmtId="3" fontId="3" fillId="4" borderId="0" xfId="0" applyNumberFormat="1" applyFont="1" applyFill="1"/>
    <xf numFmtId="169" fontId="3" fillId="0" borderId="0" xfId="0" applyNumberFormat="1" applyFont="1"/>
    <xf numFmtId="0" fontId="5" fillId="0" borderId="0" xfId="0" applyFont="1"/>
    <xf numFmtId="0" fontId="6" fillId="0" borderId="0" xfId="0" applyFont="1"/>
    <xf numFmtId="168" fontId="0" fillId="0" borderId="0" xfId="0" applyNumberFormat="1"/>
    <xf numFmtId="0" fontId="3" fillId="0" borderId="0" xfId="0" applyFont="1" applyAlignment="1">
      <alignment horizontal="left" indent="1"/>
    </xf>
    <xf numFmtId="0" fontId="0" fillId="0" borderId="0" xfId="0" applyAlignment="1">
      <alignment wrapText="1"/>
    </xf>
    <xf numFmtId="10" fontId="0" fillId="0" borderId="0" xfId="2" applyNumberFormat="1" applyFont="1"/>
    <xf numFmtId="0" fontId="3" fillId="6" borderId="2" xfId="0" applyFont="1" applyFill="1" applyBorder="1"/>
    <xf numFmtId="0" fontId="3" fillId="5" borderId="3" xfId="0" applyFont="1" applyFill="1" applyBorder="1"/>
    <xf numFmtId="0" fontId="3" fillId="6" borderId="3" xfId="0" applyFont="1" applyFill="1" applyBorder="1"/>
    <xf numFmtId="0" fontId="4" fillId="6" borderId="4" xfId="0" applyFont="1" applyFill="1" applyBorder="1"/>
    <xf numFmtId="0" fontId="4" fillId="6" borderId="5" xfId="0" applyFont="1" applyFill="1" applyBorder="1"/>
    <xf numFmtId="0" fontId="4" fillId="6" borderId="2" xfId="0" applyFont="1" applyFill="1" applyBorder="1"/>
    <xf numFmtId="0" fontId="11" fillId="5" borderId="0" xfId="0" applyFont="1" applyFill="1"/>
    <xf numFmtId="3" fontId="11" fillId="5" borderId="0" xfId="0" applyNumberFormat="1" applyFont="1" applyFill="1"/>
    <xf numFmtId="3" fontId="16" fillId="0" borderId="4" xfId="0" applyNumberFormat="1" applyFont="1" applyBorder="1"/>
    <xf numFmtId="3" fontId="16" fillId="0" borderId="2" xfId="0" applyNumberFormat="1" applyFont="1" applyBorder="1"/>
    <xf numFmtId="3" fontId="16" fillId="0" borderId="5" xfId="0" applyNumberFormat="1" applyFont="1" applyBorder="1"/>
    <xf numFmtId="0" fontId="7" fillId="6" borderId="0" xfId="0" applyFont="1" applyFill="1"/>
    <xf numFmtId="3" fontId="3" fillId="6" borderId="0" xfId="0" applyNumberFormat="1" applyFont="1" applyFill="1"/>
    <xf numFmtId="0" fontId="3" fillId="0" borderId="2" xfId="0" applyFont="1" applyBorder="1" applyAlignment="1">
      <alignment horizontal="left"/>
    </xf>
    <xf numFmtId="0" fontId="3" fillId="0" borderId="6" xfId="0" applyFont="1" applyBorder="1" applyAlignment="1">
      <alignment horizontal="left"/>
    </xf>
    <xf numFmtId="0" fontId="3" fillId="0" borderId="5" xfId="0" applyFont="1" applyBorder="1" applyAlignment="1">
      <alignment horizontal="left"/>
    </xf>
    <xf numFmtId="0" fontId="19" fillId="6" borderId="0" xfId="0" applyFont="1" applyFill="1"/>
    <xf numFmtId="0" fontId="19" fillId="6" borderId="0" xfId="0" applyFont="1" applyFill="1" applyAlignment="1">
      <alignment horizontal="left"/>
    </xf>
    <xf numFmtId="4" fontId="3" fillId="0" borderId="8" xfId="0" applyNumberFormat="1" applyFont="1" applyBorder="1"/>
    <xf numFmtId="4" fontId="3" fillId="0" borderId="2" xfId="0" applyNumberFormat="1" applyFont="1" applyBorder="1"/>
    <xf numFmtId="0" fontId="3" fillId="6" borderId="2" xfId="0" applyFont="1" applyFill="1" applyBorder="1" applyAlignment="1">
      <alignment horizontal="left"/>
    </xf>
    <xf numFmtId="171" fontId="3" fillId="0" borderId="11" xfId="0" applyNumberFormat="1" applyFont="1" applyBorder="1"/>
    <xf numFmtId="0" fontId="20" fillId="6" borderId="0" xfId="0" applyFont="1" applyFill="1"/>
    <xf numFmtId="0" fontId="0" fillId="6" borderId="0" xfId="0" applyFill="1"/>
    <xf numFmtId="0" fontId="15" fillId="6" borderId="2" xfId="0" applyFont="1" applyFill="1" applyBorder="1"/>
    <xf numFmtId="0" fontId="6" fillId="0" borderId="2" xfId="0" applyFont="1" applyBorder="1"/>
    <xf numFmtId="0" fontId="0" fillId="0" borderId="2" xfId="0" applyBorder="1"/>
    <xf numFmtId="0" fontId="15" fillId="6" borderId="4" xfId="0" applyFont="1" applyFill="1" applyBorder="1"/>
    <xf numFmtId="0" fontId="6" fillId="0" borderId="13" xfId="0" applyFont="1" applyBorder="1"/>
    <xf numFmtId="0" fontId="0" fillId="0" borderId="14" xfId="0" applyBorder="1"/>
    <xf numFmtId="0" fontId="6" fillId="0" borderId="10" xfId="0" applyFont="1" applyBorder="1"/>
    <xf numFmtId="0" fontId="6" fillId="0" borderId="16" xfId="0" applyFont="1" applyBorder="1"/>
    <xf numFmtId="0" fontId="0" fillId="0" borderId="17" xfId="0" applyBorder="1"/>
    <xf numFmtId="0" fontId="21" fillId="0" borderId="4" xfId="0" applyFont="1" applyBorder="1"/>
    <xf numFmtId="0" fontId="21" fillId="0" borderId="18" xfId="0" applyFont="1" applyBorder="1"/>
    <xf numFmtId="0" fontId="21" fillId="0" borderId="5" xfId="0" applyFont="1" applyBorder="1"/>
    <xf numFmtId="10" fontId="3" fillId="0" borderId="11" xfId="0" applyNumberFormat="1" applyFont="1" applyBorder="1"/>
    <xf numFmtId="0" fontId="3" fillId="6" borderId="16" xfId="0" applyFont="1" applyFill="1" applyBorder="1" applyAlignment="1">
      <alignment horizontal="left"/>
    </xf>
    <xf numFmtId="10" fontId="3" fillId="0" borderId="15" xfId="0" applyNumberFormat="1" applyFont="1" applyBorder="1"/>
    <xf numFmtId="0" fontId="3" fillId="0" borderId="10" xfId="0" applyFont="1" applyBorder="1"/>
    <xf numFmtId="0" fontId="19" fillId="6" borderId="2" xfId="0" applyFont="1" applyFill="1" applyBorder="1"/>
    <xf numFmtId="0" fontId="3" fillId="0" borderId="4" xfId="0" applyFont="1" applyBorder="1" applyAlignment="1">
      <alignment horizontal="left"/>
    </xf>
    <xf numFmtId="0" fontId="3" fillId="0" borderId="18" xfId="0" applyFont="1" applyBorder="1" applyAlignment="1">
      <alignment horizontal="left"/>
    </xf>
    <xf numFmtId="0" fontId="19" fillId="6" borderId="7" xfId="0" applyFont="1" applyFill="1" applyBorder="1"/>
    <xf numFmtId="0" fontId="2" fillId="6" borderId="0" xfId="0" applyFont="1" applyFill="1"/>
    <xf numFmtId="0" fontId="2" fillId="6" borderId="0" xfId="0" applyFont="1" applyFill="1" applyAlignment="1">
      <alignment horizontal="right"/>
    </xf>
    <xf numFmtId="0" fontId="3" fillId="7" borderId="0" xfId="0" applyFont="1" applyFill="1"/>
    <xf numFmtId="166" fontId="3" fillId="7" borderId="0" xfId="0" applyNumberFormat="1" applyFont="1" applyFill="1"/>
    <xf numFmtId="3" fontId="3" fillId="7" borderId="0" xfId="0" applyNumberFormat="1" applyFont="1" applyFill="1"/>
    <xf numFmtId="0" fontId="3" fillId="5" borderId="0" xfId="0" applyFont="1" applyFill="1"/>
    <xf numFmtId="0" fontId="3" fillId="7" borderId="1" xfId="0" applyFont="1" applyFill="1" applyBorder="1"/>
    <xf numFmtId="0" fontId="4" fillId="7" borderId="0" xfId="0" applyFont="1" applyFill="1"/>
    <xf numFmtId="0" fontId="4" fillId="6" borderId="2" xfId="0" applyFont="1" applyFill="1" applyBorder="1" applyAlignment="1">
      <alignment horizontal="right"/>
    </xf>
    <xf numFmtId="0" fontId="3" fillId="6" borderId="13" xfId="0" applyFont="1" applyFill="1" applyBorder="1"/>
    <xf numFmtId="0" fontId="3" fillId="6" borderId="14" xfId="0" applyFont="1" applyFill="1" applyBorder="1"/>
    <xf numFmtId="0" fontId="13" fillId="6" borderId="14" xfId="0" applyFont="1" applyFill="1" applyBorder="1" applyAlignment="1">
      <alignment vertical="center"/>
    </xf>
    <xf numFmtId="0" fontId="4" fillId="6" borderId="14" xfId="0" applyFont="1" applyFill="1" applyBorder="1"/>
    <xf numFmtId="0" fontId="3" fillId="3" borderId="14" xfId="0" applyFont="1" applyFill="1" applyBorder="1"/>
    <xf numFmtId="0" fontId="3" fillId="6" borderId="0" xfId="0" applyFont="1" applyFill="1"/>
    <xf numFmtId="167" fontId="3" fillId="7" borderId="0" xfId="0" applyNumberFormat="1" applyFont="1" applyFill="1"/>
    <xf numFmtId="0" fontId="4" fillId="7" borderId="19" xfId="0" applyFont="1" applyFill="1" applyBorder="1"/>
    <xf numFmtId="0" fontId="3" fillId="7" borderId="20" xfId="0" applyFont="1" applyFill="1" applyBorder="1"/>
    <xf numFmtId="0" fontId="3" fillId="7" borderId="14" xfId="0" applyFont="1" applyFill="1" applyBorder="1"/>
    <xf numFmtId="0" fontId="3" fillId="7" borderId="15" xfId="0" applyFont="1" applyFill="1" applyBorder="1"/>
    <xf numFmtId="0" fontId="4" fillId="7" borderId="21" xfId="0" applyFont="1" applyFill="1" applyBorder="1"/>
    <xf numFmtId="0" fontId="3" fillId="7" borderId="11" xfId="0" applyFont="1" applyFill="1" applyBorder="1"/>
    <xf numFmtId="0" fontId="4" fillId="7" borderId="22" xfId="0" applyFont="1" applyFill="1" applyBorder="1"/>
    <xf numFmtId="0" fontId="3" fillId="7" borderId="23" xfId="0" applyFont="1" applyFill="1" applyBorder="1"/>
    <xf numFmtId="0" fontId="3" fillId="7" borderId="17" xfId="0" applyFont="1" applyFill="1" applyBorder="1"/>
    <xf numFmtId="0" fontId="3" fillId="7" borderId="12" xfId="0" applyFont="1" applyFill="1" applyBorder="1"/>
    <xf numFmtId="0" fontId="11" fillId="5" borderId="2" xfId="0" applyFont="1" applyFill="1" applyBorder="1"/>
    <xf numFmtId="0" fontId="19" fillId="5" borderId="2" xfId="0" applyFont="1" applyFill="1" applyBorder="1"/>
    <xf numFmtId="0" fontId="3" fillId="7" borderId="13" xfId="0" applyFont="1" applyFill="1" applyBorder="1"/>
    <xf numFmtId="3" fontId="3" fillId="7" borderId="14" xfId="0" applyNumberFormat="1" applyFont="1" applyFill="1" applyBorder="1"/>
    <xf numFmtId="0" fontId="3" fillId="7" borderId="10" xfId="0" applyFont="1" applyFill="1" applyBorder="1"/>
    <xf numFmtId="0" fontId="3" fillId="7" borderId="16" xfId="0" applyFont="1" applyFill="1" applyBorder="1"/>
    <xf numFmtId="3" fontId="3" fillId="7" borderId="17" xfId="0" applyNumberFormat="1" applyFont="1" applyFill="1" applyBorder="1"/>
    <xf numFmtId="0" fontId="3" fillId="6" borderId="15" xfId="0" applyFont="1" applyFill="1" applyBorder="1"/>
    <xf numFmtId="168" fontId="3" fillId="0" borderId="11" xfId="0" applyNumberFormat="1" applyFont="1" applyBorder="1"/>
    <xf numFmtId="0" fontId="4" fillId="5" borderId="0" xfId="0" applyFont="1" applyFill="1" applyAlignment="1">
      <alignment horizontal="right"/>
    </xf>
    <xf numFmtId="0" fontId="22" fillId="6" borderId="0" xfId="0" applyFont="1" applyFill="1" applyAlignment="1">
      <alignment horizontal="right"/>
    </xf>
    <xf numFmtId="168" fontId="3" fillId="7" borderId="2" xfId="0" applyNumberFormat="1" applyFont="1" applyFill="1" applyBorder="1"/>
    <xf numFmtId="0" fontId="3" fillId="7" borderId="2" xfId="0" applyFont="1" applyFill="1" applyBorder="1"/>
    <xf numFmtId="0" fontId="5" fillId="7" borderId="0" xfId="0" applyFont="1" applyFill="1" applyAlignment="1">
      <alignment vertical="center"/>
    </xf>
    <xf numFmtId="0" fontId="0" fillId="7" borderId="0" xfId="0" applyFill="1" applyAlignment="1">
      <alignment vertical="center"/>
    </xf>
    <xf numFmtId="0" fontId="0" fillId="7" borderId="0" xfId="0" applyFill="1"/>
    <xf numFmtId="0" fontId="5" fillId="7" borderId="0" xfId="0" applyFont="1" applyFill="1"/>
    <xf numFmtId="0" fontId="0" fillId="0" borderId="15" xfId="0" applyBorder="1" applyAlignment="1">
      <alignment horizontal="center" vertical="top"/>
    </xf>
    <xf numFmtId="0" fontId="0" fillId="0" borderId="11" xfId="0" applyBorder="1" applyAlignment="1">
      <alignment horizontal="center" vertical="top"/>
    </xf>
    <xf numFmtId="0" fontId="0" fillId="0" borderId="12" xfId="0" applyBorder="1" applyAlignment="1">
      <alignment horizontal="center" vertical="top"/>
    </xf>
    <xf numFmtId="0" fontId="0" fillId="0" borderId="0" xfId="0" applyAlignment="1">
      <alignment vertical="top"/>
    </xf>
    <xf numFmtId="0" fontId="15" fillId="6" borderId="2" xfId="0" applyFont="1" applyFill="1" applyBorder="1" applyAlignment="1">
      <alignment horizontal="center" vertical="center"/>
    </xf>
    <xf numFmtId="10" fontId="19" fillId="6" borderId="8" xfId="0" applyNumberFormat="1" applyFont="1" applyFill="1" applyBorder="1"/>
    <xf numFmtId="0" fontId="23" fillId="5" borderId="0" xfId="0" applyFont="1" applyFill="1"/>
    <xf numFmtId="0" fontId="0" fillId="5" borderId="0" xfId="0" applyFill="1"/>
    <xf numFmtId="0" fontId="3" fillId="0" borderId="0" xfId="0" applyFont="1" applyAlignment="1">
      <alignment vertical="center"/>
    </xf>
    <xf numFmtId="170" fontId="3" fillId="6" borderId="2" xfId="0" applyNumberFormat="1" applyFont="1" applyFill="1" applyBorder="1"/>
    <xf numFmtId="170" fontId="3" fillId="0" borderId="18" xfId="0" applyNumberFormat="1" applyFont="1" applyBorder="1"/>
    <xf numFmtId="0" fontId="19" fillId="6" borderId="8" xfId="0" applyFont="1" applyFill="1" applyBorder="1"/>
    <xf numFmtId="171" fontId="3" fillId="0" borderId="15" xfId="0" applyNumberFormat="1" applyFont="1" applyBorder="1"/>
    <xf numFmtId="0" fontId="13" fillId="5" borderId="0" xfId="0" applyFont="1" applyFill="1" applyAlignment="1">
      <alignment horizontal="center"/>
    </xf>
    <xf numFmtId="0" fontId="14" fillId="5" borderId="0" xfId="0" applyFont="1" applyFill="1" applyAlignment="1">
      <alignment horizontal="center"/>
    </xf>
    <xf numFmtId="164" fontId="14" fillId="5" borderId="0" xfId="0" applyNumberFormat="1" applyFont="1" applyFill="1" applyAlignment="1">
      <alignment horizontal="center"/>
    </xf>
    <xf numFmtId="0" fontId="17" fillId="6" borderId="0" xfId="0" applyFont="1" applyFill="1" applyAlignment="1">
      <alignment horizontal="center"/>
    </xf>
    <xf numFmtId="0" fontId="13" fillId="6" borderId="0" xfId="0" applyFont="1" applyFill="1" applyAlignment="1">
      <alignment horizontal="center"/>
    </xf>
    <xf numFmtId="0" fontId="18" fillId="6" borderId="0" xfId="0" applyFont="1" applyFill="1" applyAlignment="1">
      <alignment horizontal="center"/>
    </xf>
    <xf numFmtId="0" fontId="0" fillId="6" borderId="0" xfId="0" applyFill="1" applyAlignment="1">
      <alignment horizontal="center"/>
    </xf>
    <xf numFmtId="0" fontId="12" fillId="6" borderId="0" xfId="0" applyFont="1" applyFill="1" applyAlignment="1">
      <alignment horizontal="center"/>
    </xf>
    <xf numFmtId="0" fontId="8" fillId="0" borderId="0" xfId="0" applyFont="1" applyAlignment="1">
      <alignment horizontal="center"/>
    </xf>
    <xf numFmtId="0" fontId="0" fillId="0" borderId="0" xfId="0" applyAlignment="1">
      <alignment horizontal="center"/>
    </xf>
    <xf numFmtId="0" fontId="15" fillId="6" borderId="0" xfId="0" applyFont="1" applyFill="1" applyAlignment="1">
      <alignment horizontal="left"/>
    </xf>
    <xf numFmtId="0" fontId="15" fillId="6" borderId="7" xfId="0" applyFont="1" applyFill="1" applyBorder="1" applyAlignment="1">
      <alignment horizontal="center"/>
    </xf>
    <xf numFmtId="0" fontId="15" fillId="6" borderId="9" xfId="0" applyFont="1" applyFill="1" applyBorder="1" applyAlignment="1">
      <alignment horizontal="center"/>
    </xf>
    <xf numFmtId="0" fontId="15" fillId="6" borderId="8" xfId="0" applyFont="1" applyFill="1" applyBorder="1" applyAlignment="1">
      <alignment horizontal="center"/>
    </xf>
    <xf numFmtId="0" fontId="0" fillId="0" borderId="15" xfId="0" applyBorder="1"/>
    <xf numFmtId="0" fontId="0" fillId="0" borderId="11" xfId="0" applyBorder="1"/>
    <xf numFmtId="0" fontId="0" fillId="0" borderId="12" xfId="0" applyBorder="1"/>
    <xf numFmtId="0" fontId="24" fillId="5" borderId="0" xfId="0" applyFont="1" applyFill="1" applyAlignment="1">
      <alignment horizontal="center" vertical="center"/>
    </xf>
    <xf numFmtId="0" fontId="17" fillId="5" borderId="0" xfId="0" applyFont="1" applyFill="1" applyAlignment="1">
      <alignment horizontal="center" vertical="top"/>
    </xf>
    <xf numFmtId="0" fontId="4" fillId="5" borderId="4" xfId="0" applyFont="1" applyFill="1" applyBorder="1"/>
    <xf numFmtId="0" fontId="3" fillId="7" borderId="18" xfId="0" applyFont="1" applyFill="1" applyBorder="1"/>
    <xf numFmtId="0" fontId="3" fillId="7" borderId="5" xfId="0" applyFont="1" applyFill="1" applyBorder="1"/>
    <xf numFmtId="0" fontId="3" fillId="7" borderId="4" xfId="0" applyFont="1" applyFill="1" applyBorder="1"/>
    <xf numFmtId="166" fontId="3" fillId="7" borderId="4" xfId="0" applyNumberFormat="1" applyFont="1" applyFill="1" applyBorder="1"/>
    <xf numFmtId="166" fontId="3" fillId="7" borderId="18" xfId="0" applyNumberFormat="1" applyFont="1" applyFill="1" applyBorder="1"/>
    <xf numFmtId="166" fontId="3" fillId="7" borderId="5" xfId="0" applyNumberFormat="1" applyFont="1" applyFill="1" applyBorder="1"/>
    <xf numFmtId="0" fontId="4" fillId="5" borderId="2" xfId="0" applyFont="1" applyFill="1" applyBorder="1"/>
    <xf numFmtId="0" fontId="4" fillId="5" borderId="2" xfId="0" applyFont="1" applyFill="1" applyBorder="1" applyAlignment="1">
      <alignment horizontal="right"/>
    </xf>
    <xf numFmtId="170" fontId="4" fillId="0" borderId="0" xfId="0" applyNumberFormat="1" applyFont="1"/>
    <xf numFmtId="170" fontId="3" fillId="7" borderId="2" xfId="0" applyNumberFormat="1" applyFont="1" applyFill="1" applyBorder="1"/>
    <xf numFmtId="0" fontId="3" fillId="7" borderId="2" xfId="0" applyFont="1" applyFill="1" applyBorder="1" applyAlignment="1">
      <alignment horizontal="left"/>
    </xf>
    <xf numFmtId="0" fontId="3" fillId="0" borderId="8" xfId="0" applyNumberFormat="1" applyFont="1" applyBorder="1"/>
    <xf numFmtId="0" fontId="3" fillId="4" borderId="8" xfId="0" applyNumberFormat="1" applyFont="1" applyFill="1" applyBorder="1"/>
    <xf numFmtId="9" fontId="3" fillId="0" borderId="15" xfId="2" applyNumberFormat="1" applyFont="1" applyBorder="1" applyAlignment="1">
      <alignment horizontal="center"/>
    </xf>
    <xf numFmtId="9" fontId="0" fillId="0" borderId="11" xfId="2" applyNumberFormat="1" applyFont="1" applyBorder="1" applyAlignment="1">
      <alignment horizontal="center" vertical="top"/>
    </xf>
    <xf numFmtId="9" fontId="0" fillId="0" borderId="11" xfId="2" applyNumberFormat="1" applyFont="1" applyBorder="1" applyAlignment="1">
      <alignment horizontal="center"/>
    </xf>
    <xf numFmtId="9" fontId="0" fillId="0" borderId="12" xfId="2" applyNumberFormat="1" applyFont="1" applyBorder="1" applyAlignment="1">
      <alignment horizontal="center"/>
    </xf>
    <xf numFmtId="170" fontId="3" fillId="0" borderId="4" xfId="0" applyNumberFormat="1" applyFont="1" applyBorder="1" applyAlignment="1">
      <alignment horizontal="center"/>
    </xf>
    <xf numFmtId="170" fontId="0" fillId="0" borderId="18" xfId="0" applyNumberFormat="1" applyBorder="1" applyAlignment="1">
      <alignment horizontal="center"/>
    </xf>
    <xf numFmtId="166" fontId="0" fillId="0" borderId="18" xfId="0" applyNumberFormat="1" applyBorder="1" applyAlignment="1">
      <alignment horizontal="center"/>
    </xf>
    <xf numFmtId="170" fontId="0" fillId="0" borderId="5" xfId="0" applyNumberFormat="1" applyBorder="1" applyAlignment="1">
      <alignment horizontal="center"/>
    </xf>
    <xf numFmtId="0" fontId="0" fillId="0" borderId="4" xfId="0" applyBorder="1"/>
    <xf numFmtId="0" fontId="0" fillId="0" borderId="18" xfId="0" applyBorder="1"/>
    <xf numFmtId="0" fontId="0" fillId="0" borderId="5" xfId="0" applyBorder="1"/>
    <xf numFmtId="0" fontId="1" fillId="6" borderId="0" xfId="0" applyFont="1" applyFill="1"/>
    <xf numFmtId="0" fontId="15" fillId="6" borderId="7" xfId="0" applyFont="1" applyFill="1" applyBorder="1"/>
    <xf numFmtId="0" fontId="15" fillId="6" borderId="8" xfId="0" applyFont="1" applyFill="1" applyBorder="1"/>
    <xf numFmtId="0" fontId="3" fillId="0" borderId="13" xfId="0" applyNumberFormat="1" applyFont="1" applyBorder="1"/>
    <xf numFmtId="0" fontId="3" fillId="0" borderId="10" xfId="0" applyNumberFormat="1" applyFont="1" applyBorder="1"/>
    <xf numFmtId="0" fontId="3" fillId="0" borderId="4" xfId="0" applyNumberFormat="1" applyFont="1" applyBorder="1"/>
    <xf numFmtId="0" fontId="3" fillId="0" borderId="18" xfId="0" applyNumberFormat="1" applyFont="1" applyBorder="1"/>
    <xf numFmtId="0" fontId="3" fillId="7" borderId="16" xfId="0" applyNumberFormat="1" applyFont="1" applyFill="1" applyBorder="1"/>
    <xf numFmtId="0" fontId="3" fillId="7" borderId="5" xfId="0" applyNumberFormat="1" applyFont="1" applyFill="1" applyBorder="1"/>
    <xf numFmtId="10" fontId="3" fillId="7" borderId="12" xfId="0" applyNumberFormat="1" applyFont="1" applyFill="1" applyBorder="1"/>
    <xf numFmtId="171" fontId="3" fillId="7" borderId="12" xfId="0" applyNumberFormat="1" applyFont="1" applyFill="1" applyBorder="1"/>
    <xf numFmtId="0" fontId="3" fillId="6" borderId="4" xfId="0" applyFont="1" applyFill="1" applyBorder="1"/>
    <xf numFmtId="0" fontId="3" fillId="7" borderId="4" xfId="0" applyNumberFormat="1" applyFont="1" applyFill="1" applyBorder="1"/>
  </cellXfs>
  <cellStyles count="3">
    <cellStyle name="Normal" xfId="0" builtinId="0"/>
    <cellStyle name="Percent" xfId="2" builtinId="5"/>
    <cellStyle name="Style 1" xfId="1" xr:uid="{381BAD42-2625-459D-9F8C-99D84803DF5E}"/>
  </cellStyles>
  <dxfs count="464">
    <dxf>
      <font>
        <strike val="0"/>
        <outline val="0"/>
        <shadow val="0"/>
        <u val="none"/>
        <vertAlign val="baseline"/>
        <color theme="1"/>
        <name val="Calibri"/>
        <family val="2"/>
        <scheme val="none"/>
      </font>
      <fill>
        <patternFill patternType="solid">
          <fgColor indexed="64"/>
          <bgColor theme="5" tint="0.59999389629810485"/>
        </patternFill>
      </fill>
      <border diagonalUp="0" diagonalDown="0">
        <left style="medium">
          <color indexed="64"/>
        </left>
        <right style="medium">
          <color indexed="64"/>
        </right>
        <top/>
        <bottom/>
        <vertical/>
        <horizontal/>
      </border>
    </dxf>
    <dxf>
      <font>
        <strike val="0"/>
        <outline val="0"/>
        <shadow val="0"/>
        <u val="none"/>
        <vertAlign val="baseline"/>
        <color theme="1"/>
        <name val="Calibri"/>
        <family val="2"/>
        <scheme val="none"/>
      </font>
      <fill>
        <patternFill patternType="solid">
          <fgColor indexed="64"/>
          <bgColor theme="5" tint="0.59999389629810485"/>
        </patternFill>
      </fill>
      <border diagonalUp="0" diagonalDown="0">
        <left style="medium">
          <color indexed="64"/>
        </left>
        <right style="medium">
          <color indexed="64"/>
        </right>
        <top/>
        <bottom/>
        <vertical/>
        <horizontal/>
      </border>
    </dxf>
    <dxf>
      <font>
        <strike val="0"/>
        <outline val="0"/>
        <shadow val="0"/>
        <u val="none"/>
        <vertAlign val="baseline"/>
        <color theme="1"/>
        <name val="Calibri"/>
        <family val="2"/>
        <scheme val="none"/>
      </font>
      <numFmt numFmtId="166" formatCode="&quot;$&quot;#,##0_);[Red]\(&quot;$&quot;#,##0\)"/>
      <fill>
        <patternFill patternType="solid">
          <fgColor indexed="64"/>
          <bgColor theme="5" tint="0.59999389629810485"/>
        </patternFill>
      </fill>
      <border diagonalUp="0" diagonalDown="0">
        <left style="medium">
          <color indexed="64"/>
        </left>
        <right style="medium">
          <color indexed="64"/>
        </right>
        <top/>
        <bottom/>
        <vertical/>
        <horizontal/>
      </border>
    </dxf>
    <dxf>
      <font>
        <strike val="0"/>
        <outline val="0"/>
        <shadow val="0"/>
        <u val="none"/>
        <vertAlign val="baseline"/>
        <color theme="1"/>
        <name val="Calibri"/>
        <family val="2"/>
        <scheme val="none"/>
      </font>
      <numFmt numFmtId="0" formatCode="General"/>
      <fill>
        <patternFill patternType="solid">
          <fgColor indexed="64"/>
          <bgColor theme="5" tint="0.59999389629810485"/>
        </patternFill>
      </fill>
      <border diagonalUp="0" diagonalDown="0">
        <left style="medium">
          <color indexed="64"/>
        </left>
        <right style="medium">
          <color indexed="64"/>
        </right>
        <top/>
        <bottom/>
        <vertical/>
        <horizontal/>
      </border>
    </dxf>
    <dxf>
      <font>
        <strike val="0"/>
        <outline val="0"/>
        <shadow val="0"/>
        <u val="none"/>
        <vertAlign val="baseline"/>
        <color theme="1"/>
        <name val="Calibri"/>
        <family val="2"/>
        <scheme val="none"/>
      </font>
      <numFmt numFmtId="3" formatCode="#,##0"/>
      <fill>
        <patternFill patternType="solid">
          <fgColor indexed="64"/>
          <bgColor theme="5" tint="0.59999389629810485"/>
        </patternFill>
      </fill>
    </dxf>
    <dxf>
      <font>
        <strike val="0"/>
        <outline val="0"/>
        <shadow val="0"/>
        <u val="none"/>
        <vertAlign val="baseline"/>
        <color theme="1"/>
        <name val="Calibri"/>
        <family val="2"/>
        <scheme val="none"/>
      </font>
      <numFmt numFmtId="0" formatCode="General"/>
      <fill>
        <patternFill patternType="solid">
          <fgColor indexed="64"/>
          <bgColor theme="5" tint="0.59999389629810485"/>
        </patternFill>
      </fill>
      <border diagonalUp="0" diagonalDown="0">
        <left/>
        <right style="medium">
          <color indexed="64"/>
        </right>
        <top/>
        <bottom/>
        <vertical/>
        <horizontal/>
      </border>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numFmt numFmtId="14" formatCode="0.00%"/>
    </dxf>
    <dxf>
      <numFmt numFmtId="14" formatCode="0.00%"/>
    </dxf>
    <dxf>
      <font>
        <color theme="0"/>
      </font>
    </dxf>
    <dxf>
      <fill>
        <patternFill patternType="solid">
          <bgColor rgb="FFBE0A06"/>
        </patternFill>
      </fill>
    </dxf>
    <dxf>
      <fill>
        <patternFill patternType="solid">
          <bgColor rgb="FFBE0A06"/>
        </patternFill>
      </fill>
    </dxf>
    <dxf>
      <font>
        <color theme="0"/>
      </font>
    </dxf>
    <dxf>
      <fill>
        <patternFill patternType="solid">
          <bgColor rgb="FFBE0A06"/>
        </patternFill>
      </fill>
    </dxf>
    <dxf>
      <font>
        <color theme="0"/>
      </font>
    </dxf>
    <dxf>
      <font>
        <color theme="0"/>
      </font>
    </dxf>
    <dxf>
      <fill>
        <patternFill patternType="solid">
          <bgColor rgb="FFBE0A06"/>
        </patternFill>
      </fill>
    </dxf>
    <dxf>
      <fill>
        <patternFill patternType="solid">
          <bgColor rgb="FFBE0A06"/>
        </patternFill>
      </fill>
    </dxf>
    <dxf>
      <fill>
        <patternFill patternType="solid">
          <bgColor rgb="FFBE0A06"/>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rder>
    </dxf>
    <dxf>
      <border>
        <right style="medium">
          <color indexed="64"/>
        </right>
      </border>
    </dxf>
    <dxf>
      <font>
        <color theme="0"/>
      </font>
    </dxf>
    <dxf>
      <fill>
        <patternFill patternType="solid">
          <bgColor theme="5" tint="0.59999389629810485"/>
        </patternFill>
      </fill>
    </dxf>
    <dxf>
      <border>
        <top style="medium">
          <color indexed="64"/>
        </top>
      </border>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ill>
        <patternFill patternType="solid">
          <bgColor rgb="FFBE0A06"/>
        </patternFill>
      </fill>
    </dxf>
    <dxf>
      <fill>
        <patternFill patternType="solid">
          <bgColor rgb="FFBE0A06"/>
        </patternFill>
      </fill>
    </dxf>
    <dxf>
      <fill>
        <patternFill patternType="solid">
          <bgColor rgb="FFBE0A06"/>
        </patternFill>
      </fill>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72" formatCode="&quot;₹&quot;\ #,##0.00"/>
    </dxf>
    <dxf>
      <numFmt numFmtId="170" formatCode="[$$-409]#,##0"/>
    </dxf>
    <dxf>
      <numFmt numFmtId="170" formatCode="[$$-409]#,##0"/>
    </dxf>
    <dxf>
      <fill>
        <patternFill patternType="solid">
          <bgColor theme="5" tint="0.59999389629810485"/>
        </patternFill>
      </fill>
    </dxf>
    <dxf>
      <fill>
        <patternFill>
          <bgColor theme="5" tint="0.59999389629810485"/>
        </patternFill>
      </fill>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numFmt numFmtId="0" formatCode="General"/>
    </dxf>
    <dxf>
      <fill>
        <patternFill patternType="solid">
          <bgColor rgb="FFBE0A06"/>
        </patternFill>
      </fill>
    </dxf>
    <dxf>
      <fill>
        <patternFill patternType="solid">
          <bgColor rgb="FFBE0A06"/>
        </patternFill>
      </fill>
    </dxf>
    <dxf>
      <fill>
        <patternFill patternType="solid">
          <bgColor rgb="FFBE0A06"/>
        </patternFill>
      </fill>
    </dxf>
    <dxf>
      <font>
        <color theme="0"/>
      </font>
    </dxf>
    <dxf>
      <font>
        <color theme="0"/>
      </font>
    </dxf>
    <dxf>
      <font>
        <color theme="0"/>
      </font>
    </dxf>
    <dxf>
      <font>
        <color theme="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fill>
        <patternFill patternType="solid">
          <bgColor rgb="FFBE0A06"/>
        </patternFill>
      </fill>
    </dxf>
    <dxf>
      <fill>
        <patternFill>
          <bgColor theme="0"/>
        </patternFill>
      </fil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font>
        <b/>
      </font>
    </dxf>
    <dxf>
      <font>
        <b/>
      </font>
    </dxf>
    <dxf>
      <font>
        <b/>
      </font>
    </dxf>
    <dxf>
      <font>
        <b/>
      </font>
    </dxf>
    <dxf>
      <fill>
        <patternFill patternType="solid">
          <bgColor theme="5" tint="0.59999389629810485"/>
        </patternFill>
      </fill>
    </dxf>
    <dxf>
      <numFmt numFmtId="170" formatCode="[$$-409]#,##0"/>
    </dxf>
    <dxf>
      <numFmt numFmtId="170" formatCode="[$$-409]#,##0"/>
    </dxf>
    <dxf>
      <numFmt numFmtId="170" formatCode="[$$-409]#,##0"/>
    </dxf>
    <dxf>
      <numFmt numFmtId="170" formatCode="[$$-409]#,##0"/>
    </dxf>
    <dxf>
      <numFmt numFmtId="170" formatCode="[$$-409]#,##0"/>
    </dxf>
    <dxf>
      <numFmt numFmtId="170" formatCode="[$$-409]#,##0"/>
    </dxf>
    <dxf>
      <numFmt numFmtId="170" formatCode="[$$-409]#,##0"/>
    </dxf>
    <dxf>
      <fill>
        <patternFill patternType="solid">
          <bgColor theme="5" tint="0.59999389629810485"/>
        </patternFill>
      </fill>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numFmt numFmtId="0" formatCode="General"/>
    </dxf>
    <dxf>
      <fill>
        <patternFill patternType="solid">
          <bgColor rgb="FFBE0A06"/>
        </patternFill>
      </fill>
    </dxf>
    <dxf>
      <fill>
        <patternFill patternType="solid">
          <bgColor rgb="FFBE0A06"/>
        </patternFill>
      </fill>
    </dxf>
    <dxf>
      <fill>
        <patternFill patternType="solid">
          <bgColor rgb="FFBE0A06"/>
        </patternFill>
      </fill>
    </dxf>
    <dxf>
      <font>
        <color theme="0"/>
      </font>
    </dxf>
    <dxf>
      <font>
        <color theme="0"/>
      </font>
    </dxf>
    <dxf>
      <font>
        <color theme="0"/>
      </font>
    </dxf>
    <dxf>
      <font>
        <color theme="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fill>
        <patternFill patternType="solid">
          <bgColor rgb="FFBE0A06"/>
        </patternFill>
      </fill>
    </dxf>
    <dxf>
      <fill>
        <patternFill>
          <bgColor theme="0"/>
        </patternFill>
      </fil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font>
        <b/>
      </font>
    </dxf>
    <dxf>
      <font>
        <b/>
      </font>
    </dxf>
    <dxf>
      <font>
        <b/>
      </font>
    </dxf>
    <dxf>
      <font>
        <b/>
      </font>
    </dxf>
    <dxf>
      <fill>
        <patternFill patternType="solid">
          <bgColor theme="5" tint="0.59999389629810485"/>
        </patternFill>
      </fill>
    </dxf>
    <dxf>
      <numFmt numFmtId="170" formatCode="[$$-409]#,##0"/>
    </dxf>
    <dxf>
      <numFmt numFmtId="170" formatCode="[$$-409]#,##0"/>
    </dxf>
    <dxf>
      <numFmt numFmtId="170" formatCode="[$$-409]#,##0"/>
    </dxf>
    <dxf>
      <numFmt numFmtId="170" formatCode="[$$-409]#,##0"/>
    </dxf>
    <dxf>
      <numFmt numFmtId="170" formatCode="[$$-409]#,##0"/>
    </dxf>
    <dxf>
      <numFmt numFmtId="170" formatCode="[$$-409]#,##0"/>
    </dxf>
    <dxf>
      <numFmt numFmtId="170" formatCode="[$$-409]#,##0"/>
    </dxf>
    <dxf>
      <fill>
        <patternFill patternType="solid">
          <bgColor theme="5" tint="0.59999389629810485"/>
        </patternFill>
      </fill>
    </dxf>
    <dxf>
      <fill>
        <patternFill patternType="solid">
          <bgColor theme="5" tint="0.59999389629810485"/>
        </patternFill>
      </fill>
    </dxf>
    <dxf>
      <numFmt numFmtId="170" formatCode="[$$-409]#,##0"/>
    </dxf>
    <dxf>
      <numFmt numFmtId="170" formatCode="[$$-409]#,##0"/>
    </dxf>
    <dxf>
      <numFmt numFmtId="170" formatCode="[$$-409]#,##0"/>
    </dxf>
    <dxf>
      <numFmt numFmtId="170" formatCode="[$$-409]#,##0"/>
    </dxf>
    <dxf>
      <numFmt numFmtId="170" formatCode="[$$-409]#,##0"/>
    </dxf>
    <dxf>
      <numFmt numFmtId="170" formatCode="[$$-409]#,##0"/>
    </dxf>
    <dxf>
      <numFmt numFmtId="170" formatCode="[$$-409]#,##0"/>
    </dxf>
    <dxf>
      <numFmt numFmtId="170" formatCode="[$$-409]#,##0"/>
    </dxf>
    <dxf>
      <numFmt numFmtId="170" formatCode="[$$-409]#,##0"/>
    </dxf>
    <dxf>
      <numFmt numFmtId="170" formatCode="[$$-409]#,##0"/>
    </dxf>
    <dxf>
      <numFmt numFmtId="170" formatCode="[$$-409]#,##0"/>
    </dxf>
    <dxf>
      <numFmt numFmtId="170" formatCode="[$$-409]#,##0"/>
    </dxf>
    <dxf>
      <numFmt numFmtId="34" formatCode="_ &quot;₹&quot;\ * #,##0.00_ ;_ &quot;₹&quot;\ * \-#,##0.00_ ;_ &quot;₹&quot;\ * &quot;-&quot;??_ ;_ @_ "/>
    </dxf>
    <dxf>
      <numFmt numFmtId="170" formatCode="[$$-409]#,##0"/>
    </dxf>
    <dxf>
      <numFmt numFmtId="170" formatCode="[$$-409]#,##0"/>
    </dxf>
    <dxf>
      <numFmt numFmtId="170" formatCode="[$$-409]#,##0"/>
    </dxf>
    <dxf>
      <numFmt numFmtId="172" formatCode="&quot;₹&quot;\ #,##0.00"/>
    </dxf>
    <dxf>
      <font>
        <strike val="0"/>
        <outline val="0"/>
        <shadow val="0"/>
        <u val="none"/>
        <vertAlign val="baseline"/>
        <color theme="1"/>
        <name val="Calibri"/>
        <family val="2"/>
        <scheme val="none"/>
      </font>
      <numFmt numFmtId="166" formatCode="&quot;$&quot;#,##0_);[Red]\(&quot;$&quot;#,##0\)"/>
      <fill>
        <patternFill patternType="solid">
          <fgColor indexed="64"/>
          <bgColor theme="5" tint="0.59999389629810485"/>
        </patternFill>
      </fill>
      <border diagonalUp="0" diagonalDown="0">
        <left style="medium">
          <color indexed="64"/>
        </left>
        <right style="medium">
          <color indexed="64"/>
        </right>
        <top/>
        <bottom/>
        <vertical/>
        <horizontal/>
      </border>
    </dxf>
    <dxf>
      <font>
        <strike val="0"/>
        <outline val="0"/>
        <shadow val="0"/>
        <u val="none"/>
        <vertAlign val="baseline"/>
        <color theme="1"/>
        <name val="Calibri"/>
        <family val="2"/>
        <scheme val="none"/>
      </font>
      <fill>
        <patternFill patternType="solid">
          <fgColor indexed="64"/>
          <bgColor theme="5" tint="0.59999389629810485"/>
        </patternFill>
      </fill>
      <border diagonalUp="0" diagonalDown="0">
        <left style="medium">
          <color indexed="64"/>
        </left>
        <right style="medium">
          <color indexed="64"/>
        </right>
        <top/>
        <bottom/>
        <vertical/>
        <horizontal/>
      </border>
    </dxf>
    <dxf>
      <font>
        <strike val="0"/>
        <outline val="0"/>
        <shadow val="0"/>
        <u val="none"/>
        <vertAlign val="baseline"/>
        <color theme="1"/>
        <name val="Calibri"/>
        <family val="2"/>
        <scheme val="none"/>
      </font>
      <fill>
        <patternFill patternType="solid">
          <fgColor indexed="64"/>
          <bgColor theme="5" tint="0.59999389629810485"/>
        </patternFill>
      </fill>
      <border diagonalUp="0" diagonalDown="0">
        <left style="medium">
          <color indexed="64"/>
        </left>
        <right style="medium">
          <color indexed="64"/>
        </right>
        <top/>
        <bottom/>
        <vertical/>
        <horizontal/>
      </border>
    </dxf>
    <dxf>
      <font>
        <name val="Calibri"/>
        <family val="2"/>
        <scheme val="none"/>
      </font>
    </dxf>
    <dxf>
      <numFmt numFmtId="169" formatCode="[$$-409]#,##0;[Red][$$-409]#,##0"/>
    </dxf>
    <dxf>
      <font>
        <name val="Cambria"/>
        <family val="1"/>
        <scheme val="none"/>
      </font>
    </dxf>
    <dxf>
      <font>
        <name val="Cambria"/>
        <family val="1"/>
        <scheme val="none"/>
      </font>
    </dxf>
    <dxf>
      <fill>
        <patternFill patternType="solid">
          <bgColor rgb="FFBE0A06"/>
        </patternFill>
      </fill>
    </dxf>
    <dxf>
      <fill>
        <patternFill patternType="solid">
          <bgColor rgb="FFBE0A06"/>
        </patternFill>
      </fill>
    </dxf>
    <dxf>
      <fill>
        <patternFill patternType="solid">
          <bgColor rgb="FFBE0A06"/>
        </patternFill>
      </fill>
    </dxf>
    <dxf>
      <fill>
        <patternFill patternType="solid">
          <bgColor rgb="FFBE0A06"/>
        </patternFill>
      </fill>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name val="Calibri"/>
        <family val="2"/>
        <scheme val="none"/>
      </font>
    </dxf>
    <dxf>
      <numFmt numFmtId="169" formatCode="[$$-409]#,##0;[Red][$$-409]#,##0"/>
    </dxf>
    <dxf>
      <font>
        <name val="Cambria"/>
        <family val="1"/>
        <scheme val="none"/>
      </font>
    </dxf>
    <dxf>
      <font>
        <name val="Cambria"/>
        <family val="1"/>
        <scheme val="none"/>
      </font>
    </dxf>
    <dxf>
      <fill>
        <patternFill patternType="solid">
          <bgColor rgb="FFBE0A06"/>
        </patternFill>
      </fill>
    </dxf>
    <dxf>
      <fill>
        <patternFill patternType="solid">
          <bgColor rgb="FFBE0A06"/>
        </patternFill>
      </fill>
    </dxf>
    <dxf>
      <fill>
        <patternFill patternType="solid">
          <bgColor rgb="FFBE0A06"/>
        </patternFill>
      </fill>
    </dxf>
    <dxf>
      <fill>
        <patternFill patternType="solid">
          <bgColor rgb="FFBE0A06"/>
        </patternFill>
      </fill>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name val="Calibri"/>
        <family val="2"/>
        <scheme val="none"/>
      </font>
    </dxf>
    <dxf>
      <numFmt numFmtId="169" formatCode="[$$-409]#,##0;[Red][$$-409]#,##0"/>
    </dxf>
    <dxf>
      <font>
        <name val="Cambria"/>
        <family val="1"/>
        <scheme val="none"/>
      </font>
    </dxf>
    <dxf>
      <font>
        <name val="Cambria"/>
        <family val="1"/>
        <scheme val="none"/>
      </font>
    </dxf>
    <dxf>
      <fill>
        <patternFill patternType="solid">
          <bgColor rgb="FFBE0A06"/>
        </patternFill>
      </fill>
    </dxf>
    <dxf>
      <fill>
        <patternFill patternType="solid">
          <bgColor rgb="FFBE0A06"/>
        </patternFill>
      </fill>
    </dxf>
    <dxf>
      <fill>
        <patternFill patternType="solid">
          <bgColor rgb="FFBE0A06"/>
        </patternFill>
      </fill>
    </dxf>
    <dxf>
      <fill>
        <patternFill patternType="solid">
          <bgColor rgb="FFBE0A06"/>
        </patternFill>
      </fill>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name val="Calibri"/>
        <family val="2"/>
        <scheme val="none"/>
      </font>
    </dxf>
    <dxf>
      <numFmt numFmtId="169" formatCode="[$$-409]#,##0;[Red][$$-409]#,##0"/>
    </dxf>
    <dxf>
      <font>
        <name val="Cambria"/>
        <family val="1"/>
        <scheme val="none"/>
      </font>
    </dxf>
    <dxf>
      <font>
        <name val="Cambria"/>
        <family val="1"/>
        <scheme val="none"/>
      </font>
    </dxf>
    <dxf>
      <fill>
        <patternFill patternType="solid">
          <bgColor rgb="FFBE0A06"/>
        </patternFill>
      </fill>
    </dxf>
    <dxf>
      <fill>
        <patternFill patternType="solid">
          <bgColor rgb="FFBE0A06"/>
        </patternFill>
      </fill>
    </dxf>
    <dxf>
      <fill>
        <patternFill patternType="solid">
          <bgColor rgb="FFBE0A06"/>
        </patternFill>
      </fill>
    </dxf>
    <dxf>
      <fill>
        <patternFill patternType="solid">
          <bgColor rgb="FFBE0A06"/>
        </patternFill>
      </fill>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name val="Calibri"/>
        <family val="2"/>
        <scheme val="none"/>
      </font>
    </dxf>
    <dxf>
      <numFmt numFmtId="169" formatCode="[$$-409]#,##0;[Red][$$-409]#,##0"/>
    </dxf>
    <dxf>
      <font>
        <name val="Cambria"/>
        <family val="1"/>
        <scheme val="none"/>
      </font>
    </dxf>
    <dxf>
      <font>
        <name val="Cambria"/>
        <family val="1"/>
        <scheme val="none"/>
      </font>
    </dxf>
    <dxf>
      <fill>
        <patternFill patternType="solid">
          <bgColor rgb="FFBE0A06"/>
        </patternFill>
      </fill>
    </dxf>
    <dxf>
      <fill>
        <patternFill patternType="solid">
          <bgColor rgb="FFBE0A06"/>
        </patternFill>
      </fill>
    </dxf>
    <dxf>
      <fill>
        <patternFill patternType="solid">
          <bgColor rgb="FFBE0A06"/>
        </patternFill>
      </fill>
    </dxf>
    <dxf>
      <fill>
        <patternFill patternType="solid">
          <bgColor rgb="FFBE0A06"/>
        </patternFill>
      </fill>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color rgb="FF9C0006"/>
      </font>
      <fill>
        <patternFill>
          <bgColor rgb="FFFFC7CE"/>
        </patternFill>
      </fill>
    </dxf>
    <dxf>
      <border>
        <left style="thin">
          <color rgb="FF9C0006"/>
        </left>
        <right style="thin">
          <color rgb="FF9C0006"/>
        </right>
        <top style="thin">
          <color rgb="FF9C0006"/>
        </top>
        <bottom style="thin">
          <color rgb="FF9C0006"/>
        </bottom>
      </border>
    </dxf>
    <dxf>
      <font>
        <name val="Calibri"/>
        <family val="2"/>
        <scheme val="none"/>
      </font>
    </dxf>
    <dxf>
      <numFmt numFmtId="169" formatCode="[$$-409]#,##0;[Red][$$-409]#,##0"/>
    </dxf>
    <dxf>
      <font>
        <name val="Cambria"/>
        <family val="1"/>
        <scheme val="none"/>
      </font>
    </dxf>
    <dxf>
      <font>
        <name val="Cambria"/>
        <family val="1"/>
        <scheme val="none"/>
      </font>
    </dxf>
    <dxf>
      <fill>
        <patternFill patternType="solid">
          <bgColor rgb="FFBE0A06"/>
        </patternFill>
      </fill>
    </dxf>
    <dxf>
      <fill>
        <patternFill patternType="solid">
          <bgColor rgb="FFBE0A06"/>
        </patternFill>
      </fill>
    </dxf>
    <dxf>
      <fill>
        <patternFill patternType="solid">
          <bgColor rgb="FFBE0A06"/>
        </patternFill>
      </fill>
    </dxf>
    <dxf>
      <fill>
        <patternFill patternType="solid">
          <bgColor rgb="FFBE0A06"/>
        </patternFill>
      </fill>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color theme="0"/>
      </font>
    </dxf>
    <dxf>
      <border>
        <right style="medium">
          <color indexed="64"/>
        </right>
      </border>
    </dxf>
    <dxf>
      <border>
        <left style="medium">
          <color indexed="64"/>
        </left>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BE0A06"/>
        </patternFill>
      </fill>
    </dxf>
    <dxf>
      <fill>
        <patternFill patternType="solid">
          <bgColor rgb="FFBE0A06"/>
        </patternFill>
      </fill>
    </dxf>
    <dxf>
      <fill>
        <patternFill patternType="solid">
          <bgColor rgb="FFBE0A06"/>
        </patternFill>
      </fill>
    </dxf>
    <dxf>
      <font>
        <color theme="0"/>
      </font>
    </dxf>
    <dxf>
      <font>
        <color theme="0"/>
      </font>
    </dxf>
    <dxf>
      <fill>
        <patternFill patternType="solid">
          <bgColor rgb="FFBE0A06"/>
        </patternFill>
      </fill>
    </dxf>
    <dxf>
      <font>
        <color theme="0"/>
      </font>
    </dxf>
    <dxf>
      <fill>
        <patternFill patternType="solid">
          <bgColor rgb="FFBE0A06"/>
        </patternFill>
      </fill>
    </dxf>
    <dxf>
      <fill>
        <patternFill patternType="solid">
          <bgColor rgb="FFBE0A06"/>
        </patternFill>
      </fill>
    </dxf>
    <dxf>
      <font>
        <color theme="0"/>
      </font>
    </dxf>
    <dxf>
      <numFmt numFmtId="14" formatCode="0.00%"/>
    </dxf>
    <dxf>
      <numFmt numFmtId="14" formatCode="0.00%"/>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numFmt numFmtId="170" formatCode="[$$-409]#,##0"/>
    </dxf>
    <dxf>
      <numFmt numFmtId="170" formatCode="[$$-409]#,##0"/>
    </dxf>
    <dxf>
      <numFmt numFmtId="172" formatCode="&quot;₹&quot;\ #,##0.0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BE0A06"/>
        </patternFill>
      </fill>
    </dxf>
    <dxf>
      <fill>
        <patternFill patternType="solid">
          <bgColor rgb="FFBE0A06"/>
        </patternFill>
      </fill>
    </dxf>
    <dxf>
      <fill>
        <patternFill patternType="solid">
          <bgColor rgb="FFBE0A06"/>
        </patternFill>
      </fill>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ill>
        <patternFill patternType="solid">
          <bgColor theme="5" tint="0.59999389629810485"/>
        </patternFill>
      </fill>
    </dxf>
    <dxf>
      <font>
        <b/>
      </font>
    </dxf>
    <dxf>
      <font>
        <b/>
      </font>
    </dxf>
    <dxf>
      <font>
        <b/>
      </font>
    </dxf>
    <dxf>
      <font>
        <b/>
      </font>
    </dxf>
    <dxf>
      <font>
        <b/>
      </font>
    </dxf>
    <dxf>
      <font>
        <b/>
      </font>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1"/>
      </font>
    </dxf>
    <dxf>
      <font>
        <color theme="0"/>
      </font>
    </dxf>
    <dxf>
      <font>
        <color theme="0"/>
      </font>
    </dxf>
    <dxf>
      <font>
        <color theme="0"/>
      </font>
    </dxf>
    <dxf>
      <fill>
        <patternFill patternType="solid">
          <bgColor rgb="FFBE0A06"/>
        </patternFill>
      </fill>
    </dxf>
    <dxf>
      <fill>
        <patternFill patternType="solid">
          <bgColor rgb="FFBE0A06"/>
        </patternFill>
      </fill>
    </dxf>
    <dxf>
      <fill>
        <patternFill patternType="solid">
          <bgColor rgb="FFBE0A06"/>
        </patternFill>
      </fill>
    </dxf>
    <dxf>
      <numFmt numFmtId="4" formatCode="#,##0.00"/>
    </dxf>
    <dxf>
      <numFmt numFmtId="0" formatCode="General"/>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ill>
        <patternFill patternType="solid">
          <bgColor theme="5" tint="0.59999389629810485"/>
        </patternFill>
      </fill>
    </dxf>
    <dxf>
      <font>
        <b/>
      </font>
    </dxf>
    <dxf>
      <font>
        <b/>
      </font>
    </dxf>
    <dxf>
      <font>
        <b/>
      </font>
    </dxf>
    <dxf>
      <font>
        <b/>
      </font>
    </dxf>
    <dxf>
      <font>
        <b/>
      </font>
    </dxf>
    <dxf>
      <font>
        <b/>
      </font>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fill>
        <patternFill>
          <bgColor theme="0"/>
        </patternFill>
      </fill>
    </dxf>
    <dxf>
      <fill>
        <patternFill patternType="solid">
          <bgColor rgb="FFBE0A06"/>
        </patternFill>
      </fill>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1"/>
      </font>
    </dxf>
    <dxf>
      <font>
        <color theme="0"/>
      </font>
    </dxf>
    <dxf>
      <font>
        <color theme="0"/>
      </font>
    </dxf>
    <dxf>
      <font>
        <color theme="0"/>
      </font>
    </dxf>
    <dxf>
      <fill>
        <patternFill patternType="solid">
          <bgColor rgb="FFBE0A06"/>
        </patternFill>
      </fill>
    </dxf>
    <dxf>
      <fill>
        <patternFill patternType="solid">
          <bgColor rgb="FFBE0A06"/>
        </patternFill>
      </fill>
    </dxf>
    <dxf>
      <fill>
        <patternFill patternType="solid">
          <bgColor rgb="FFBE0A06"/>
        </patternFill>
      </fill>
    </dxf>
    <dxf>
      <numFmt numFmtId="0" formatCode="General"/>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font>
        <strike val="0"/>
        <outline val="0"/>
        <shadow val="0"/>
        <u val="none"/>
        <vertAlign val="baseline"/>
        <color theme="1"/>
        <name val="Calibri"/>
        <family val="2"/>
        <scheme val="none"/>
      </font>
      <numFmt numFmtId="3" formatCode="#,##0"/>
      <fill>
        <patternFill patternType="solid">
          <fgColor indexed="64"/>
          <bgColor theme="5" tint="0.59999389629810485"/>
        </patternFill>
      </fill>
    </dxf>
    <dxf>
      <font>
        <strike val="0"/>
        <outline val="0"/>
        <shadow val="0"/>
        <u val="none"/>
        <vertAlign val="baseline"/>
        <color theme="1"/>
        <name val="Calibri"/>
        <family val="2"/>
        <scheme val="none"/>
      </font>
      <fill>
        <patternFill patternType="solid">
          <fgColor indexed="64"/>
          <bgColor theme="5" tint="0.59999389629810485"/>
        </patternFill>
      </fill>
    </dxf>
    <dxf>
      <border diagonalUp="0" diagonalDown="0">
        <left style="medium">
          <color indexed="64"/>
        </left>
        <right style="medium">
          <color indexed="64"/>
        </right>
        <top style="medium">
          <color indexed="64"/>
        </top>
        <bottom style="medium">
          <color indexed="64"/>
        </bottom>
      </border>
    </dxf>
    <dxf>
      <font>
        <strike val="0"/>
        <outline val="0"/>
        <shadow val="0"/>
        <u val="none"/>
        <vertAlign val="baseline"/>
        <color theme="1"/>
        <name val="Calibri"/>
        <family val="2"/>
        <scheme val="none"/>
      </font>
      <fill>
        <patternFill patternType="solid">
          <fgColor indexed="64"/>
          <bgColor theme="5" tint="0.59999389629810485"/>
        </patternFill>
      </fill>
    </dxf>
    <dxf>
      <font>
        <strike val="0"/>
        <outline val="0"/>
        <shadow val="0"/>
        <u val="none"/>
        <vertAlign val="baseline"/>
        <color theme="1"/>
        <name val="Calibri"/>
        <family val="2"/>
        <scheme val="none"/>
      </font>
      <fill>
        <patternFill patternType="solid">
          <fgColor indexed="64"/>
          <bgColor theme="5" tint="0.59999389629810485"/>
        </patternFill>
      </fill>
    </dxf>
    <dxf>
      <fill>
        <patternFill patternType="solid">
          <bgColor theme="5"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BE0A06"/>
        </patternFill>
      </fill>
    </dxf>
    <dxf>
      <fill>
        <patternFill patternType="solid">
          <bgColor rgb="FFBE0A06"/>
        </patternFill>
      </fill>
    </dxf>
    <dxf>
      <fill>
        <patternFill patternType="solid">
          <bgColor rgb="FFBE0A06"/>
        </patternFill>
      </fill>
    </dxf>
    <dxf>
      <numFmt numFmtId="168" formatCode="[$$-409]#,##0.00"/>
    </dxf>
    <dxf>
      <numFmt numFmtId="168" formatCode="[$$-409]#,##0.00"/>
    </dxf>
    <dxf>
      <font>
        <name val="Calibri"/>
        <family val="2"/>
        <scheme val="none"/>
      </font>
    </dxf>
    <dxf>
      <font>
        <name val="Calibri"/>
        <family val="2"/>
        <scheme val="none"/>
      </font>
    </dxf>
    <dxf>
      <font>
        <name val="Calibri"/>
        <family val="2"/>
        <scheme val="none"/>
      </font>
    </dxf>
    <dxf>
      <font>
        <name val="Calibri"/>
        <family val="2"/>
        <scheme val="none"/>
      </font>
    </dxf>
    <dxf>
      <font>
        <name val="Calibri"/>
        <family val="2"/>
        <scheme val="none"/>
      </fon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bottom style="thin">
          <color indexed="64"/>
        </bottom>
      </border>
    </dxf>
    <dxf>
      <border>
        <bottom style="thin">
          <color indexed="64"/>
        </bottom>
      </border>
    </dxf>
    <dxf>
      <fill>
        <patternFill patternType="solid">
          <bgColor rgb="FFBE0A06"/>
        </patternFill>
      </fill>
    </dxf>
    <dxf>
      <fill>
        <patternFill patternType="solid">
          <bgColor rgb="FFBE0A06"/>
        </patternFill>
      </fill>
    </dxf>
    <dxf>
      <fill>
        <patternFill patternType="solid">
          <bgColor rgb="FFBE0A06"/>
        </patternFill>
      </fill>
    </dxf>
    <dxf>
      <fill>
        <patternFill patternType="solid">
          <bgColor rgb="FFBE0A06"/>
        </patternFill>
      </fill>
    </dxf>
    <dxf>
      <font>
        <name val="Cambria"/>
        <family val="1"/>
        <scheme val="none"/>
      </font>
    </dxf>
    <dxf>
      <font>
        <name val="Cambria"/>
        <family val="1"/>
        <scheme val="none"/>
      </font>
    </dxf>
    <dxf>
      <numFmt numFmtId="169" formatCode="[$$-409]#,##0;[Red][$$-409]#,##0"/>
    </dxf>
    <dxf>
      <font>
        <name val="Calibri"/>
        <family val="2"/>
        <scheme val="none"/>
      </font>
    </dxf>
    <dxf>
      <fill>
        <patternFill patternType="none">
          <fgColor indexed="64"/>
          <bgColor indexed="65"/>
        </patternFill>
      </fill>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sz val="11"/>
        <color theme="1"/>
        <name val="Calibri"/>
        <family val="2"/>
        <scheme val="none"/>
      </font>
    </dxf>
    <dxf>
      <font>
        <strike val="0"/>
        <outline val="0"/>
        <shadow val="0"/>
        <u val="none"/>
        <vertAlign val="baseline"/>
        <color theme="1"/>
        <name val="Calibri"/>
        <family val="2"/>
        <scheme val="none"/>
      </font>
      <fill>
        <patternFill patternType="solid">
          <fgColor indexed="64"/>
          <bgColor theme="5" tint="0.59999389629810485"/>
        </patternFill>
      </fill>
    </dxf>
    <dxf>
      <font>
        <strike val="0"/>
        <outline val="0"/>
        <shadow val="0"/>
        <u val="none"/>
        <vertAlign val="baseline"/>
        <color theme="1"/>
        <name val="Calibri"/>
        <family val="2"/>
        <scheme val="none"/>
      </font>
      <fill>
        <patternFill patternType="solid">
          <fgColor indexed="64"/>
          <bgColor theme="5" tint="0.59999389629810485"/>
        </patternFill>
      </fill>
      <border diagonalUp="0" diagonalDown="0">
        <left style="medium">
          <color indexed="64"/>
        </left>
        <right/>
        <top/>
        <bottom/>
        <vertical/>
        <horizontal/>
      </border>
    </dxf>
    <dxf>
      <font>
        <strike val="0"/>
        <outline val="0"/>
        <shadow val="0"/>
        <u val="none"/>
        <vertAlign val="baseline"/>
        <color theme="1"/>
        <name val="Calibri"/>
        <family val="2"/>
        <scheme val="none"/>
      </font>
      <fill>
        <patternFill patternType="solid">
          <fgColor indexed="64"/>
          <bgColor theme="5" tint="0.59999389629810485"/>
        </patternFill>
      </fill>
    </dxf>
    <dxf>
      <font>
        <strike val="0"/>
        <outline val="0"/>
        <shadow val="0"/>
        <u val="none"/>
        <vertAlign val="baseline"/>
        <color theme="1"/>
        <name val="Calibri"/>
        <family val="2"/>
        <scheme val="none"/>
      </font>
    </dxf>
    <dxf>
      <font>
        <strike val="0"/>
        <outline val="0"/>
        <shadow val="0"/>
        <u val="none"/>
        <vertAlign val="baseline"/>
        <color theme="1"/>
        <name val="Calibri"/>
        <family val="2"/>
        <scheme val="none"/>
      </font>
      <numFmt numFmtId="167" formatCode="&quot;$&quot;#,##0.00_);[Red]\(&quot;$&quot;#,##0.00\)"/>
      <fill>
        <patternFill patternType="solid">
          <fgColor indexed="64"/>
          <bgColor theme="5" tint="0.59999389629810485"/>
        </patternFill>
      </fill>
    </dxf>
    <dxf>
      <border diagonalUp="0" diagonalDown="0">
        <left style="medium">
          <color indexed="64"/>
        </left>
        <right style="medium">
          <color indexed="64"/>
        </right>
        <top style="medium">
          <color indexed="64"/>
        </top>
        <bottom style="medium">
          <color indexed="64"/>
        </bottom>
      </border>
    </dxf>
    <dxf>
      <font>
        <strike val="0"/>
        <outline val="0"/>
        <shadow val="0"/>
        <u val="none"/>
        <vertAlign val="baseline"/>
        <color theme="1"/>
        <name val="Calibri"/>
        <family val="2"/>
        <scheme val="none"/>
      </font>
      <fill>
        <patternFill patternType="solid">
          <fgColor indexed="64"/>
          <bgColor theme="5" tint="0.59999389629810485"/>
        </patternFill>
      </fill>
    </dxf>
    <dxf>
      <font>
        <strike val="0"/>
        <outline val="0"/>
        <shadow val="0"/>
        <u val="none"/>
        <vertAlign val="baseline"/>
        <color theme="1"/>
        <name val="Calibri"/>
        <family val="2"/>
        <scheme val="none"/>
      </font>
    </dxf>
  </dxfs>
  <tableStyles count="0" defaultTableStyle="TableStyleMedium2" defaultPivotStyle="PivotStyleLight16"/>
  <colors>
    <mruColors>
      <color rgb="FFBE0A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pivotCacheDefinition" Target="pivotCache/pivotCacheDefinition6.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microsoft.com/office/2007/relationships/slicerCache" Target="slicerCaches/slicerCache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pivotCacheDefinition" Target="pivotCache/pivotCacheDefinition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 Id="rId27" Type="http://schemas.openxmlformats.org/officeDocument/2006/relationships/sharedStrings" Target="sharedStrings.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en-US" b="1"/>
              <a:t>Scatter Analysis: Revenue vs Units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ta-IN"/>
        </a:p>
      </c:txPr>
    </c:title>
    <c:autoTitleDeleted val="0"/>
    <c:plotArea>
      <c:layout>
        <c:manualLayout>
          <c:layoutTarget val="inner"/>
          <c:xMode val="edge"/>
          <c:yMode val="edge"/>
          <c:x val="6.5358705161854769E-2"/>
          <c:y val="0.19486111111111112"/>
          <c:w val="0.84625240594925633"/>
          <c:h val="0.71456838728492267"/>
        </c:manualLayout>
      </c:layout>
      <c:scatterChart>
        <c:scatterStyle val="lineMarker"/>
        <c:varyColors val="0"/>
        <c:ser>
          <c:idx val="0"/>
          <c:order val="0"/>
          <c:tx>
            <c:strRef>
              <c:f>Sheet6!$R$7</c:f>
              <c:strCache>
                <c:ptCount val="1"/>
                <c:pt idx="0">
                  <c:v>Units</c:v>
                </c:pt>
              </c:strCache>
            </c:strRef>
          </c:tx>
          <c:spPr>
            <a:ln w="19050" cap="rnd">
              <a:noFill/>
              <a:round/>
            </a:ln>
            <a:effectLst/>
          </c:spPr>
          <c:marker>
            <c:symbol val="circle"/>
            <c:size val="5"/>
            <c:spPr>
              <a:solidFill>
                <a:schemeClr val="bg1">
                  <a:lumMod val="95000"/>
                </a:schemeClr>
              </a:solidFill>
              <a:ln w="9525">
                <a:solidFill>
                  <a:schemeClr val="accent1"/>
                </a:solidFill>
              </a:ln>
              <a:effectLst/>
            </c:spPr>
          </c:marker>
          <c:xVal>
            <c:numRef>
              <c:f>Sheet6!$Q$8:$Q$307</c:f>
              <c:numCache>
                <c:formatCode>"$"#,##0_);[Red]\("$"#,##0\)</c:formatCode>
                <c:ptCount val="300"/>
                <c:pt idx="0">
                  <c:v>1624</c:v>
                </c:pt>
                <c:pt idx="1">
                  <c:v>6706</c:v>
                </c:pt>
                <c:pt idx="2">
                  <c:v>959</c:v>
                </c:pt>
                <c:pt idx="3">
                  <c:v>9632</c:v>
                </c:pt>
                <c:pt idx="4">
                  <c:v>2100</c:v>
                </c:pt>
                <c:pt idx="5">
                  <c:v>8869</c:v>
                </c:pt>
                <c:pt idx="6">
                  <c:v>2681</c:v>
                </c:pt>
                <c:pt idx="7">
                  <c:v>5012</c:v>
                </c:pt>
                <c:pt idx="8">
                  <c:v>1281</c:v>
                </c:pt>
                <c:pt idx="9">
                  <c:v>4991</c:v>
                </c:pt>
                <c:pt idx="10">
                  <c:v>1785</c:v>
                </c:pt>
                <c:pt idx="11">
                  <c:v>3983</c:v>
                </c:pt>
                <c:pt idx="12">
                  <c:v>2646</c:v>
                </c:pt>
                <c:pt idx="13">
                  <c:v>252</c:v>
                </c:pt>
                <c:pt idx="14">
                  <c:v>2464</c:v>
                </c:pt>
                <c:pt idx="15">
                  <c:v>2114</c:v>
                </c:pt>
                <c:pt idx="16">
                  <c:v>7693</c:v>
                </c:pt>
                <c:pt idx="17">
                  <c:v>15610</c:v>
                </c:pt>
                <c:pt idx="18">
                  <c:v>336</c:v>
                </c:pt>
                <c:pt idx="19">
                  <c:v>9443</c:v>
                </c:pt>
                <c:pt idx="20">
                  <c:v>8155</c:v>
                </c:pt>
                <c:pt idx="21">
                  <c:v>1701</c:v>
                </c:pt>
                <c:pt idx="22">
                  <c:v>2205</c:v>
                </c:pt>
                <c:pt idx="23">
                  <c:v>1771</c:v>
                </c:pt>
                <c:pt idx="24">
                  <c:v>2114</c:v>
                </c:pt>
                <c:pt idx="25">
                  <c:v>10311</c:v>
                </c:pt>
                <c:pt idx="26">
                  <c:v>21</c:v>
                </c:pt>
                <c:pt idx="27">
                  <c:v>1974</c:v>
                </c:pt>
                <c:pt idx="28">
                  <c:v>6314</c:v>
                </c:pt>
                <c:pt idx="29">
                  <c:v>4683</c:v>
                </c:pt>
                <c:pt idx="30">
                  <c:v>6398</c:v>
                </c:pt>
                <c:pt idx="31">
                  <c:v>553</c:v>
                </c:pt>
                <c:pt idx="32">
                  <c:v>7021</c:v>
                </c:pt>
                <c:pt idx="33">
                  <c:v>5817</c:v>
                </c:pt>
                <c:pt idx="34">
                  <c:v>3976</c:v>
                </c:pt>
                <c:pt idx="35">
                  <c:v>1134</c:v>
                </c:pt>
                <c:pt idx="36">
                  <c:v>6027</c:v>
                </c:pt>
                <c:pt idx="37">
                  <c:v>1904</c:v>
                </c:pt>
                <c:pt idx="38">
                  <c:v>3262</c:v>
                </c:pt>
                <c:pt idx="39">
                  <c:v>2289</c:v>
                </c:pt>
                <c:pt idx="40">
                  <c:v>6986</c:v>
                </c:pt>
                <c:pt idx="41">
                  <c:v>4417</c:v>
                </c:pt>
                <c:pt idx="42">
                  <c:v>1442</c:v>
                </c:pt>
                <c:pt idx="43">
                  <c:v>2415</c:v>
                </c:pt>
                <c:pt idx="44">
                  <c:v>238</c:v>
                </c:pt>
                <c:pt idx="45">
                  <c:v>4949</c:v>
                </c:pt>
                <c:pt idx="46">
                  <c:v>5075</c:v>
                </c:pt>
                <c:pt idx="47">
                  <c:v>9198</c:v>
                </c:pt>
                <c:pt idx="48">
                  <c:v>3339</c:v>
                </c:pt>
                <c:pt idx="49">
                  <c:v>5019</c:v>
                </c:pt>
                <c:pt idx="50">
                  <c:v>16184</c:v>
                </c:pt>
                <c:pt idx="51">
                  <c:v>497</c:v>
                </c:pt>
                <c:pt idx="52">
                  <c:v>8211</c:v>
                </c:pt>
                <c:pt idx="53">
                  <c:v>6580</c:v>
                </c:pt>
                <c:pt idx="54">
                  <c:v>4760</c:v>
                </c:pt>
                <c:pt idx="55">
                  <c:v>5439</c:v>
                </c:pt>
                <c:pt idx="56">
                  <c:v>1463</c:v>
                </c:pt>
                <c:pt idx="57">
                  <c:v>7777</c:v>
                </c:pt>
                <c:pt idx="58">
                  <c:v>1085</c:v>
                </c:pt>
                <c:pt idx="59">
                  <c:v>182</c:v>
                </c:pt>
                <c:pt idx="60">
                  <c:v>4242</c:v>
                </c:pt>
                <c:pt idx="61">
                  <c:v>6118</c:v>
                </c:pt>
                <c:pt idx="62">
                  <c:v>2317</c:v>
                </c:pt>
                <c:pt idx="63">
                  <c:v>938</c:v>
                </c:pt>
                <c:pt idx="64">
                  <c:v>9709</c:v>
                </c:pt>
                <c:pt idx="65">
                  <c:v>2205</c:v>
                </c:pt>
                <c:pt idx="66">
                  <c:v>4487</c:v>
                </c:pt>
                <c:pt idx="67">
                  <c:v>2415</c:v>
                </c:pt>
                <c:pt idx="68">
                  <c:v>4018</c:v>
                </c:pt>
                <c:pt idx="69">
                  <c:v>861</c:v>
                </c:pt>
                <c:pt idx="70">
                  <c:v>5586</c:v>
                </c:pt>
                <c:pt idx="71">
                  <c:v>2226</c:v>
                </c:pt>
                <c:pt idx="72">
                  <c:v>14329</c:v>
                </c:pt>
                <c:pt idx="73">
                  <c:v>8463</c:v>
                </c:pt>
                <c:pt idx="74">
                  <c:v>2891</c:v>
                </c:pt>
                <c:pt idx="75">
                  <c:v>3773</c:v>
                </c:pt>
                <c:pt idx="76">
                  <c:v>854</c:v>
                </c:pt>
                <c:pt idx="77">
                  <c:v>4970</c:v>
                </c:pt>
                <c:pt idx="78">
                  <c:v>98</c:v>
                </c:pt>
                <c:pt idx="79">
                  <c:v>13391</c:v>
                </c:pt>
                <c:pt idx="80">
                  <c:v>8890</c:v>
                </c:pt>
                <c:pt idx="81">
                  <c:v>56</c:v>
                </c:pt>
                <c:pt idx="82">
                  <c:v>3339</c:v>
                </c:pt>
                <c:pt idx="83">
                  <c:v>3808</c:v>
                </c:pt>
                <c:pt idx="84">
                  <c:v>63</c:v>
                </c:pt>
                <c:pt idx="85">
                  <c:v>7812</c:v>
                </c:pt>
                <c:pt idx="86">
                  <c:v>7693</c:v>
                </c:pt>
                <c:pt idx="87">
                  <c:v>973</c:v>
                </c:pt>
                <c:pt idx="88">
                  <c:v>567</c:v>
                </c:pt>
                <c:pt idx="89">
                  <c:v>2471</c:v>
                </c:pt>
                <c:pt idx="90">
                  <c:v>7189</c:v>
                </c:pt>
                <c:pt idx="91">
                  <c:v>7455</c:v>
                </c:pt>
                <c:pt idx="92">
                  <c:v>3108</c:v>
                </c:pt>
                <c:pt idx="93">
                  <c:v>469</c:v>
                </c:pt>
                <c:pt idx="94">
                  <c:v>2737</c:v>
                </c:pt>
                <c:pt idx="95">
                  <c:v>4305</c:v>
                </c:pt>
                <c:pt idx="96">
                  <c:v>2408</c:v>
                </c:pt>
                <c:pt idx="97">
                  <c:v>1281</c:v>
                </c:pt>
                <c:pt idx="98">
                  <c:v>12348</c:v>
                </c:pt>
                <c:pt idx="99">
                  <c:v>3689</c:v>
                </c:pt>
                <c:pt idx="100">
                  <c:v>2870</c:v>
                </c:pt>
                <c:pt idx="101">
                  <c:v>798</c:v>
                </c:pt>
                <c:pt idx="102">
                  <c:v>2933</c:v>
                </c:pt>
                <c:pt idx="103">
                  <c:v>2744</c:v>
                </c:pt>
                <c:pt idx="104">
                  <c:v>9772</c:v>
                </c:pt>
                <c:pt idx="105">
                  <c:v>1568</c:v>
                </c:pt>
                <c:pt idx="106">
                  <c:v>11417</c:v>
                </c:pt>
                <c:pt idx="107">
                  <c:v>6748</c:v>
                </c:pt>
                <c:pt idx="108">
                  <c:v>1407</c:v>
                </c:pt>
                <c:pt idx="109">
                  <c:v>2023</c:v>
                </c:pt>
                <c:pt idx="110">
                  <c:v>5236</c:v>
                </c:pt>
                <c:pt idx="111">
                  <c:v>1925</c:v>
                </c:pt>
                <c:pt idx="112">
                  <c:v>6608</c:v>
                </c:pt>
                <c:pt idx="113">
                  <c:v>8008</c:v>
                </c:pt>
                <c:pt idx="114">
                  <c:v>1428</c:v>
                </c:pt>
                <c:pt idx="115">
                  <c:v>525</c:v>
                </c:pt>
                <c:pt idx="116">
                  <c:v>1505</c:v>
                </c:pt>
                <c:pt idx="117">
                  <c:v>6755</c:v>
                </c:pt>
                <c:pt idx="118">
                  <c:v>11571</c:v>
                </c:pt>
                <c:pt idx="119">
                  <c:v>2541</c:v>
                </c:pt>
                <c:pt idx="120">
                  <c:v>1526</c:v>
                </c:pt>
                <c:pt idx="121">
                  <c:v>6125</c:v>
                </c:pt>
                <c:pt idx="122">
                  <c:v>847</c:v>
                </c:pt>
                <c:pt idx="123">
                  <c:v>4753</c:v>
                </c:pt>
                <c:pt idx="124">
                  <c:v>959</c:v>
                </c:pt>
                <c:pt idx="125">
                  <c:v>2793</c:v>
                </c:pt>
                <c:pt idx="126">
                  <c:v>4606</c:v>
                </c:pt>
                <c:pt idx="127">
                  <c:v>5551</c:v>
                </c:pt>
                <c:pt idx="128">
                  <c:v>6657</c:v>
                </c:pt>
                <c:pt idx="129">
                  <c:v>4438</c:v>
                </c:pt>
                <c:pt idx="130">
                  <c:v>168</c:v>
                </c:pt>
                <c:pt idx="131">
                  <c:v>7777</c:v>
                </c:pt>
                <c:pt idx="132">
                  <c:v>3339</c:v>
                </c:pt>
                <c:pt idx="133">
                  <c:v>6391</c:v>
                </c:pt>
                <c:pt idx="134">
                  <c:v>518</c:v>
                </c:pt>
                <c:pt idx="135">
                  <c:v>5677</c:v>
                </c:pt>
                <c:pt idx="136">
                  <c:v>6048</c:v>
                </c:pt>
                <c:pt idx="137">
                  <c:v>3752</c:v>
                </c:pt>
                <c:pt idx="138">
                  <c:v>4480</c:v>
                </c:pt>
                <c:pt idx="139">
                  <c:v>259</c:v>
                </c:pt>
                <c:pt idx="140">
                  <c:v>42</c:v>
                </c:pt>
                <c:pt idx="141">
                  <c:v>98</c:v>
                </c:pt>
                <c:pt idx="142">
                  <c:v>2478</c:v>
                </c:pt>
                <c:pt idx="143">
                  <c:v>7847</c:v>
                </c:pt>
                <c:pt idx="144">
                  <c:v>9926</c:v>
                </c:pt>
                <c:pt idx="145">
                  <c:v>819</c:v>
                </c:pt>
                <c:pt idx="146">
                  <c:v>3052</c:v>
                </c:pt>
                <c:pt idx="147">
                  <c:v>6832</c:v>
                </c:pt>
                <c:pt idx="148">
                  <c:v>2016</c:v>
                </c:pt>
                <c:pt idx="149">
                  <c:v>7322</c:v>
                </c:pt>
                <c:pt idx="150">
                  <c:v>357</c:v>
                </c:pt>
                <c:pt idx="151">
                  <c:v>3192</c:v>
                </c:pt>
                <c:pt idx="152">
                  <c:v>8435</c:v>
                </c:pt>
                <c:pt idx="153">
                  <c:v>0</c:v>
                </c:pt>
                <c:pt idx="154">
                  <c:v>8862</c:v>
                </c:pt>
                <c:pt idx="155">
                  <c:v>3556</c:v>
                </c:pt>
                <c:pt idx="156">
                  <c:v>7280</c:v>
                </c:pt>
                <c:pt idx="157">
                  <c:v>3402</c:v>
                </c:pt>
                <c:pt idx="158">
                  <c:v>4592</c:v>
                </c:pt>
                <c:pt idx="159">
                  <c:v>7833</c:v>
                </c:pt>
                <c:pt idx="160">
                  <c:v>7651</c:v>
                </c:pt>
                <c:pt idx="161">
                  <c:v>2275</c:v>
                </c:pt>
                <c:pt idx="162">
                  <c:v>5670</c:v>
                </c:pt>
                <c:pt idx="163">
                  <c:v>2135</c:v>
                </c:pt>
                <c:pt idx="164">
                  <c:v>2779</c:v>
                </c:pt>
                <c:pt idx="165">
                  <c:v>12950</c:v>
                </c:pt>
                <c:pt idx="166">
                  <c:v>2646</c:v>
                </c:pt>
                <c:pt idx="167">
                  <c:v>3794</c:v>
                </c:pt>
                <c:pt idx="168">
                  <c:v>819</c:v>
                </c:pt>
                <c:pt idx="169">
                  <c:v>2583</c:v>
                </c:pt>
                <c:pt idx="170">
                  <c:v>4585</c:v>
                </c:pt>
                <c:pt idx="171">
                  <c:v>1652</c:v>
                </c:pt>
                <c:pt idx="172">
                  <c:v>4991</c:v>
                </c:pt>
                <c:pt idx="173">
                  <c:v>2009</c:v>
                </c:pt>
                <c:pt idx="174">
                  <c:v>1568</c:v>
                </c:pt>
                <c:pt idx="175">
                  <c:v>3388</c:v>
                </c:pt>
                <c:pt idx="176">
                  <c:v>623</c:v>
                </c:pt>
                <c:pt idx="177">
                  <c:v>10073</c:v>
                </c:pt>
                <c:pt idx="178">
                  <c:v>1561</c:v>
                </c:pt>
                <c:pt idx="179">
                  <c:v>11522</c:v>
                </c:pt>
                <c:pt idx="180">
                  <c:v>2317</c:v>
                </c:pt>
                <c:pt idx="181">
                  <c:v>3059</c:v>
                </c:pt>
                <c:pt idx="182">
                  <c:v>2324</c:v>
                </c:pt>
                <c:pt idx="183">
                  <c:v>4956</c:v>
                </c:pt>
                <c:pt idx="184">
                  <c:v>5355</c:v>
                </c:pt>
                <c:pt idx="185">
                  <c:v>7259</c:v>
                </c:pt>
                <c:pt idx="186">
                  <c:v>6279</c:v>
                </c:pt>
                <c:pt idx="187">
                  <c:v>2541</c:v>
                </c:pt>
                <c:pt idx="188">
                  <c:v>3864</c:v>
                </c:pt>
                <c:pt idx="189">
                  <c:v>6146</c:v>
                </c:pt>
                <c:pt idx="190">
                  <c:v>2639</c:v>
                </c:pt>
                <c:pt idx="191">
                  <c:v>1890</c:v>
                </c:pt>
                <c:pt idx="192">
                  <c:v>1932</c:v>
                </c:pt>
                <c:pt idx="193">
                  <c:v>6300</c:v>
                </c:pt>
                <c:pt idx="194">
                  <c:v>560</c:v>
                </c:pt>
                <c:pt idx="195">
                  <c:v>2856</c:v>
                </c:pt>
                <c:pt idx="196">
                  <c:v>707</c:v>
                </c:pt>
                <c:pt idx="197">
                  <c:v>3598</c:v>
                </c:pt>
                <c:pt idx="198">
                  <c:v>6853</c:v>
                </c:pt>
                <c:pt idx="199">
                  <c:v>4725</c:v>
                </c:pt>
                <c:pt idx="200">
                  <c:v>10304</c:v>
                </c:pt>
                <c:pt idx="201">
                  <c:v>1274</c:v>
                </c:pt>
                <c:pt idx="202">
                  <c:v>1526</c:v>
                </c:pt>
                <c:pt idx="203">
                  <c:v>3101</c:v>
                </c:pt>
                <c:pt idx="204">
                  <c:v>1057</c:v>
                </c:pt>
                <c:pt idx="205">
                  <c:v>5306</c:v>
                </c:pt>
                <c:pt idx="206">
                  <c:v>4018</c:v>
                </c:pt>
                <c:pt idx="207">
                  <c:v>938</c:v>
                </c:pt>
                <c:pt idx="208">
                  <c:v>1778</c:v>
                </c:pt>
                <c:pt idx="209">
                  <c:v>1638</c:v>
                </c:pt>
                <c:pt idx="210">
                  <c:v>154</c:v>
                </c:pt>
                <c:pt idx="211">
                  <c:v>9835</c:v>
                </c:pt>
                <c:pt idx="212">
                  <c:v>7273</c:v>
                </c:pt>
                <c:pt idx="213">
                  <c:v>6909</c:v>
                </c:pt>
                <c:pt idx="214">
                  <c:v>3920</c:v>
                </c:pt>
                <c:pt idx="215">
                  <c:v>4858</c:v>
                </c:pt>
                <c:pt idx="216">
                  <c:v>3549</c:v>
                </c:pt>
                <c:pt idx="217">
                  <c:v>966</c:v>
                </c:pt>
                <c:pt idx="218">
                  <c:v>385</c:v>
                </c:pt>
                <c:pt idx="219">
                  <c:v>2219</c:v>
                </c:pt>
                <c:pt idx="220">
                  <c:v>2954</c:v>
                </c:pt>
                <c:pt idx="221">
                  <c:v>280</c:v>
                </c:pt>
                <c:pt idx="222">
                  <c:v>6118</c:v>
                </c:pt>
                <c:pt idx="223">
                  <c:v>4802</c:v>
                </c:pt>
                <c:pt idx="224">
                  <c:v>4137</c:v>
                </c:pt>
                <c:pt idx="225">
                  <c:v>2023</c:v>
                </c:pt>
                <c:pt idx="226">
                  <c:v>9051</c:v>
                </c:pt>
                <c:pt idx="227">
                  <c:v>2919</c:v>
                </c:pt>
                <c:pt idx="228">
                  <c:v>5915</c:v>
                </c:pt>
                <c:pt idx="229">
                  <c:v>2562</c:v>
                </c:pt>
                <c:pt idx="230">
                  <c:v>8813</c:v>
                </c:pt>
                <c:pt idx="231">
                  <c:v>6111</c:v>
                </c:pt>
                <c:pt idx="232">
                  <c:v>3507</c:v>
                </c:pt>
                <c:pt idx="233">
                  <c:v>4319</c:v>
                </c:pt>
                <c:pt idx="234">
                  <c:v>609</c:v>
                </c:pt>
                <c:pt idx="235">
                  <c:v>6370</c:v>
                </c:pt>
                <c:pt idx="236">
                  <c:v>5474</c:v>
                </c:pt>
                <c:pt idx="237">
                  <c:v>3164</c:v>
                </c:pt>
                <c:pt idx="238">
                  <c:v>1302</c:v>
                </c:pt>
                <c:pt idx="239">
                  <c:v>7308</c:v>
                </c:pt>
                <c:pt idx="240">
                  <c:v>6132</c:v>
                </c:pt>
                <c:pt idx="241">
                  <c:v>3472</c:v>
                </c:pt>
                <c:pt idx="242">
                  <c:v>9660</c:v>
                </c:pt>
                <c:pt idx="243">
                  <c:v>2436</c:v>
                </c:pt>
                <c:pt idx="244">
                  <c:v>9506</c:v>
                </c:pt>
                <c:pt idx="245">
                  <c:v>245</c:v>
                </c:pt>
                <c:pt idx="246">
                  <c:v>2702</c:v>
                </c:pt>
                <c:pt idx="247">
                  <c:v>700</c:v>
                </c:pt>
                <c:pt idx="248">
                  <c:v>3759</c:v>
                </c:pt>
                <c:pt idx="249">
                  <c:v>1589</c:v>
                </c:pt>
                <c:pt idx="250">
                  <c:v>5194</c:v>
                </c:pt>
                <c:pt idx="251">
                  <c:v>945</c:v>
                </c:pt>
                <c:pt idx="252">
                  <c:v>1988</c:v>
                </c:pt>
                <c:pt idx="253">
                  <c:v>6734</c:v>
                </c:pt>
                <c:pt idx="254">
                  <c:v>217</c:v>
                </c:pt>
                <c:pt idx="255">
                  <c:v>6279</c:v>
                </c:pt>
                <c:pt idx="256">
                  <c:v>4424</c:v>
                </c:pt>
                <c:pt idx="257">
                  <c:v>189</c:v>
                </c:pt>
                <c:pt idx="258">
                  <c:v>490</c:v>
                </c:pt>
                <c:pt idx="259">
                  <c:v>434</c:v>
                </c:pt>
                <c:pt idx="260">
                  <c:v>10129</c:v>
                </c:pt>
                <c:pt idx="261">
                  <c:v>1652</c:v>
                </c:pt>
                <c:pt idx="262">
                  <c:v>6433</c:v>
                </c:pt>
                <c:pt idx="263">
                  <c:v>2212</c:v>
                </c:pt>
                <c:pt idx="264">
                  <c:v>609</c:v>
                </c:pt>
                <c:pt idx="265">
                  <c:v>1638</c:v>
                </c:pt>
                <c:pt idx="266">
                  <c:v>3829</c:v>
                </c:pt>
                <c:pt idx="267">
                  <c:v>5775</c:v>
                </c:pt>
                <c:pt idx="268">
                  <c:v>1071</c:v>
                </c:pt>
                <c:pt idx="269">
                  <c:v>5019</c:v>
                </c:pt>
                <c:pt idx="270">
                  <c:v>2863</c:v>
                </c:pt>
                <c:pt idx="271">
                  <c:v>1617</c:v>
                </c:pt>
                <c:pt idx="272">
                  <c:v>6818</c:v>
                </c:pt>
                <c:pt idx="273">
                  <c:v>6657</c:v>
                </c:pt>
                <c:pt idx="274">
                  <c:v>2919</c:v>
                </c:pt>
                <c:pt idx="275">
                  <c:v>3094</c:v>
                </c:pt>
                <c:pt idx="276">
                  <c:v>2989</c:v>
                </c:pt>
                <c:pt idx="277">
                  <c:v>2268</c:v>
                </c:pt>
                <c:pt idx="278">
                  <c:v>4753</c:v>
                </c:pt>
                <c:pt idx="279">
                  <c:v>7511</c:v>
                </c:pt>
                <c:pt idx="280">
                  <c:v>4326</c:v>
                </c:pt>
                <c:pt idx="281">
                  <c:v>4935</c:v>
                </c:pt>
                <c:pt idx="282">
                  <c:v>4781</c:v>
                </c:pt>
                <c:pt idx="283">
                  <c:v>7483</c:v>
                </c:pt>
                <c:pt idx="284">
                  <c:v>6860</c:v>
                </c:pt>
                <c:pt idx="285">
                  <c:v>9002</c:v>
                </c:pt>
                <c:pt idx="286">
                  <c:v>1400</c:v>
                </c:pt>
                <c:pt idx="287">
                  <c:v>4053</c:v>
                </c:pt>
                <c:pt idx="288">
                  <c:v>2149</c:v>
                </c:pt>
                <c:pt idx="289">
                  <c:v>3640</c:v>
                </c:pt>
                <c:pt idx="290">
                  <c:v>630</c:v>
                </c:pt>
                <c:pt idx="291">
                  <c:v>2429</c:v>
                </c:pt>
                <c:pt idx="292">
                  <c:v>2142</c:v>
                </c:pt>
                <c:pt idx="293">
                  <c:v>6454</c:v>
                </c:pt>
                <c:pt idx="294">
                  <c:v>4487</c:v>
                </c:pt>
                <c:pt idx="295">
                  <c:v>938</c:v>
                </c:pt>
                <c:pt idx="296">
                  <c:v>8841</c:v>
                </c:pt>
                <c:pt idx="297">
                  <c:v>4018</c:v>
                </c:pt>
                <c:pt idx="298">
                  <c:v>714</c:v>
                </c:pt>
                <c:pt idx="299">
                  <c:v>3850</c:v>
                </c:pt>
              </c:numCache>
            </c:numRef>
          </c:xVal>
          <c:yVal>
            <c:numRef>
              <c:f>Sheet6!$R$8:$R$307</c:f>
              <c:numCache>
                <c:formatCode>#,##0</c:formatCode>
                <c:ptCount val="300"/>
                <c:pt idx="0">
                  <c:v>114</c:v>
                </c:pt>
                <c:pt idx="1">
                  <c:v>459</c:v>
                </c:pt>
                <c:pt idx="2">
                  <c:v>147</c:v>
                </c:pt>
                <c:pt idx="3">
                  <c:v>288</c:v>
                </c:pt>
                <c:pt idx="4">
                  <c:v>414</c:v>
                </c:pt>
                <c:pt idx="5">
                  <c:v>432</c:v>
                </c:pt>
                <c:pt idx="6">
                  <c:v>54</c:v>
                </c:pt>
                <c:pt idx="7">
                  <c:v>210</c:v>
                </c:pt>
                <c:pt idx="8">
                  <c:v>75</c:v>
                </c:pt>
                <c:pt idx="9">
                  <c:v>12</c:v>
                </c:pt>
                <c:pt idx="10">
                  <c:v>462</c:v>
                </c:pt>
                <c:pt idx="11">
                  <c:v>144</c:v>
                </c:pt>
                <c:pt idx="12">
                  <c:v>120</c:v>
                </c:pt>
                <c:pt idx="13">
                  <c:v>54</c:v>
                </c:pt>
                <c:pt idx="14">
                  <c:v>234</c:v>
                </c:pt>
                <c:pt idx="15">
                  <c:v>66</c:v>
                </c:pt>
                <c:pt idx="16">
                  <c:v>87</c:v>
                </c:pt>
                <c:pt idx="17">
                  <c:v>339</c:v>
                </c:pt>
                <c:pt idx="18">
                  <c:v>144</c:v>
                </c:pt>
                <c:pt idx="19">
                  <c:v>162</c:v>
                </c:pt>
                <c:pt idx="20">
                  <c:v>90</c:v>
                </c:pt>
                <c:pt idx="21">
                  <c:v>234</c:v>
                </c:pt>
                <c:pt idx="22">
                  <c:v>141</c:v>
                </c:pt>
                <c:pt idx="23">
                  <c:v>204</c:v>
                </c:pt>
                <c:pt idx="24">
                  <c:v>186</c:v>
                </c:pt>
                <c:pt idx="25">
                  <c:v>231</c:v>
                </c:pt>
                <c:pt idx="26">
                  <c:v>168</c:v>
                </c:pt>
                <c:pt idx="27">
                  <c:v>195</c:v>
                </c:pt>
                <c:pt idx="28">
                  <c:v>15</c:v>
                </c:pt>
                <c:pt idx="29">
                  <c:v>30</c:v>
                </c:pt>
                <c:pt idx="30">
                  <c:v>102</c:v>
                </c:pt>
                <c:pt idx="31">
                  <c:v>15</c:v>
                </c:pt>
                <c:pt idx="32">
                  <c:v>183</c:v>
                </c:pt>
                <c:pt idx="33">
                  <c:v>12</c:v>
                </c:pt>
                <c:pt idx="34">
                  <c:v>72</c:v>
                </c:pt>
                <c:pt idx="35">
                  <c:v>282</c:v>
                </c:pt>
                <c:pt idx="36">
                  <c:v>144</c:v>
                </c:pt>
                <c:pt idx="37">
                  <c:v>405</c:v>
                </c:pt>
                <c:pt idx="38">
                  <c:v>75</c:v>
                </c:pt>
                <c:pt idx="39">
                  <c:v>135</c:v>
                </c:pt>
                <c:pt idx="40">
                  <c:v>21</c:v>
                </c:pt>
                <c:pt idx="41">
                  <c:v>153</c:v>
                </c:pt>
                <c:pt idx="42">
                  <c:v>15</c:v>
                </c:pt>
                <c:pt idx="43">
                  <c:v>255</c:v>
                </c:pt>
                <c:pt idx="44">
                  <c:v>18</c:v>
                </c:pt>
                <c:pt idx="45">
                  <c:v>189</c:v>
                </c:pt>
                <c:pt idx="46">
                  <c:v>21</c:v>
                </c:pt>
                <c:pt idx="47">
                  <c:v>36</c:v>
                </c:pt>
                <c:pt idx="48">
                  <c:v>75</c:v>
                </c:pt>
                <c:pt idx="49">
                  <c:v>156</c:v>
                </c:pt>
                <c:pt idx="50">
                  <c:v>39</c:v>
                </c:pt>
                <c:pt idx="51">
                  <c:v>63</c:v>
                </c:pt>
                <c:pt idx="52">
                  <c:v>75</c:v>
                </c:pt>
                <c:pt idx="53">
                  <c:v>183</c:v>
                </c:pt>
                <c:pt idx="54">
                  <c:v>69</c:v>
                </c:pt>
                <c:pt idx="55">
                  <c:v>30</c:v>
                </c:pt>
                <c:pt idx="56">
                  <c:v>39</c:v>
                </c:pt>
                <c:pt idx="57">
                  <c:v>504</c:v>
                </c:pt>
                <c:pt idx="58">
                  <c:v>273</c:v>
                </c:pt>
                <c:pt idx="59">
                  <c:v>48</c:v>
                </c:pt>
                <c:pt idx="60">
                  <c:v>207</c:v>
                </c:pt>
                <c:pt idx="61">
                  <c:v>9</c:v>
                </c:pt>
                <c:pt idx="62">
                  <c:v>261</c:v>
                </c:pt>
                <c:pt idx="63">
                  <c:v>6</c:v>
                </c:pt>
                <c:pt idx="64">
                  <c:v>30</c:v>
                </c:pt>
                <c:pt idx="65">
                  <c:v>138</c:v>
                </c:pt>
                <c:pt idx="66">
                  <c:v>111</c:v>
                </c:pt>
                <c:pt idx="67">
                  <c:v>15</c:v>
                </c:pt>
                <c:pt idx="68">
                  <c:v>162</c:v>
                </c:pt>
                <c:pt idx="69">
                  <c:v>195</c:v>
                </c:pt>
                <c:pt idx="70">
                  <c:v>525</c:v>
                </c:pt>
                <c:pt idx="71">
                  <c:v>48</c:v>
                </c:pt>
                <c:pt idx="72">
                  <c:v>150</c:v>
                </c:pt>
                <c:pt idx="73">
                  <c:v>492</c:v>
                </c:pt>
                <c:pt idx="74">
                  <c:v>102</c:v>
                </c:pt>
                <c:pt idx="75">
                  <c:v>165</c:v>
                </c:pt>
                <c:pt idx="76">
                  <c:v>309</c:v>
                </c:pt>
                <c:pt idx="77">
                  <c:v>156</c:v>
                </c:pt>
                <c:pt idx="78">
                  <c:v>159</c:v>
                </c:pt>
                <c:pt idx="79">
                  <c:v>201</c:v>
                </c:pt>
                <c:pt idx="80">
                  <c:v>210</c:v>
                </c:pt>
                <c:pt idx="81">
                  <c:v>51</c:v>
                </c:pt>
                <c:pt idx="82">
                  <c:v>39</c:v>
                </c:pt>
                <c:pt idx="83">
                  <c:v>279</c:v>
                </c:pt>
                <c:pt idx="84">
                  <c:v>123</c:v>
                </c:pt>
                <c:pt idx="85">
                  <c:v>81</c:v>
                </c:pt>
                <c:pt idx="86">
                  <c:v>21</c:v>
                </c:pt>
                <c:pt idx="87">
                  <c:v>162</c:v>
                </c:pt>
                <c:pt idx="88">
                  <c:v>228</c:v>
                </c:pt>
                <c:pt idx="89">
                  <c:v>342</c:v>
                </c:pt>
                <c:pt idx="90">
                  <c:v>54</c:v>
                </c:pt>
                <c:pt idx="91">
                  <c:v>216</c:v>
                </c:pt>
                <c:pt idx="92">
                  <c:v>54</c:v>
                </c:pt>
                <c:pt idx="93">
                  <c:v>75</c:v>
                </c:pt>
                <c:pt idx="94">
                  <c:v>93</c:v>
                </c:pt>
                <c:pt idx="95">
                  <c:v>156</c:v>
                </c:pt>
                <c:pt idx="96">
                  <c:v>9</c:v>
                </c:pt>
                <c:pt idx="97">
                  <c:v>18</c:v>
                </c:pt>
                <c:pt idx="98">
                  <c:v>234</c:v>
                </c:pt>
                <c:pt idx="99">
                  <c:v>312</c:v>
                </c:pt>
                <c:pt idx="100">
                  <c:v>300</c:v>
                </c:pt>
                <c:pt idx="101">
                  <c:v>519</c:v>
                </c:pt>
                <c:pt idx="102">
                  <c:v>9</c:v>
                </c:pt>
                <c:pt idx="103">
                  <c:v>9</c:v>
                </c:pt>
                <c:pt idx="104">
                  <c:v>90</c:v>
                </c:pt>
                <c:pt idx="105">
                  <c:v>96</c:v>
                </c:pt>
                <c:pt idx="106">
                  <c:v>21</c:v>
                </c:pt>
                <c:pt idx="107">
                  <c:v>48</c:v>
                </c:pt>
                <c:pt idx="108">
                  <c:v>72</c:v>
                </c:pt>
                <c:pt idx="109">
                  <c:v>168</c:v>
                </c:pt>
                <c:pt idx="110">
                  <c:v>51</c:v>
                </c:pt>
                <c:pt idx="111">
                  <c:v>192</c:v>
                </c:pt>
                <c:pt idx="112">
                  <c:v>225</c:v>
                </c:pt>
                <c:pt idx="113">
                  <c:v>456</c:v>
                </c:pt>
                <c:pt idx="114">
                  <c:v>93</c:v>
                </c:pt>
                <c:pt idx="115">
                  <c:v>48</c:v>
                </c:pt>
                <c:pt idx="116">
                  <c:v>102</c:v>
                </c:pt>
                <c:pt idx="117">
                  <c:v>252</c:v>
                </c:pt>
                <c:pt idx="118">
                  <c:v>138</c:v>
                </c:pt>
                <c:pt idx="119">
                  <c:v>90</c:v>
                </c:pt>
                <c:pt idx="120">
                  <c:v>240</c:v>
                </c:pt>
                <c:pt idx="121">
                  <c:v>102</c:v>
                </c:pt>
                <c:pt idx="122">
                  <c:v>129</c:v>
                </c:pt>
                <c:pt idx="123">
                  <c:v>300</c:v>
                </c:pt>
                <c:pt idx="124">
                  <c:v>135</c:v>
                </c:pt>
                <c:pt idx="125">
                  <c:v>114</c:v>
                </c:pt>
                <c:pt idx="126">
                  <c:v>63</c:v>
                </c:pt>
                <c:pt idx="127">
                  <c:v>252</c:v>
                </c:pt>
                <c:pt idx="128">
                  <c:v>303</c:v>
                </c:pt>
                <c:pt idx="129">
                  <c:v>246</c:v>
                </c:pt>
                <c:pt idx="130">
                  <c:v>84</c:v>
                </c:pt>
                <c:pt idx="131">
                  <c:v>39</c:v>
                </c:pt>
                <c:pt idx="132">
                  <c:v>348</c:v>
                </c:pt>
                <c:pt idx="133">
                  <c:v>48</c:v>
                </c:pt>
                <c:pt idx="134">
                  <c:v>75</c:v>
                </c:pt>
                <c:pt idx="135">
                  <c:v>258</c:v>
                </c:pt>
                <c:pt idx="136">
                  <c:v>27</c:v>
                </c:pt>
                <c:pt idx="137">
                  <c:v>213</c:v>
                </c:pt>
                <c:pt idx="138">
                  <c:v>357</c:v>
                </c:pt>
                <c:pt idx="139">
                  <c:v>207</c:v>
                </c:pt>
                <c:pt idx="140">
                  <c:v>150</c:v>
                </c:pt>
                <c:pt idx="141">
                  <c:v>204</c:v>
                </c:pt>
                <c:pt idx="142">
                  <c:v>21</c:v>
                </c:pt>
                <c:pt idx="143">
                  <c:v>174</c:v>
                </c:pt>
                <c:pt idx="144">
                  <c:v>201</c:v>
                </c:pt>
                <c:pt idx="145">
                  <c:v>510</c:v>
                </c:pt>
                <c:pt idx="146">
                  <c:v>378</c:v>
                </c:pt>
                <c:pt idx="147">
                  <c:v>27</c:v>
                </c:pt>
                <c:pt idx="148">
                  <c:v>117</c:v>
                </c:pt>
                <c:pt idx="149">
                  <c:v>36</c:v>
                </c:pt>
                <c:pt idx="150">
                  <c:v>126</c:v>
                </c:pt>
                <c:pt idx="151">
                  <c:v>72</c:v>
                </c:pt>
                <c:pt idx="152">
                  <c:v>42</c:v>
                </c:pt>
                <c:pt idx="153">
                  <c:v>135</c:v>
                </c:pt>
                <c:pt idx="154">
                  <c:v>189</c:v>
                </c:pt>
                <c:pt idx="155">
                  <c:v>459</c:v>
                </c:pt>
                <c:pt idx="156">
                  <c:v>201</c:v>
                </c:pt>
                <c:pt idx="157">
                  <c:v>366</c:v>
                </c:pt>
                <c:pt idx="158">
                  <c:v>324</c:v>
                </c:pt>
                <c:pt idx="159">
                  <c:v>243</c:v>
                </c:pt>
                <c:pt idx="160">
                  <c:v>213</c:v>
                </c:pt>
                <c:pt idx="161">
                  <c:v>447</c:v>
                </c:pt>
                <c:pt idx="162">
                  <c:v>297</c:v>
                </c:pt>
                <c:pt idx="163">
                  <c:v>27</c:v>
                </c:pt>
                <c:pt idx="164">
                  <c:v>75</c:v>
                </c:pt>
                <c:pt idx="165">
                  <c:v>30</c:v>
                </c:pt>
                <c:pt idx="166">
                  <c:v>177</c:v>
                </c:pt>
                <c:pt idx="167">
                  <c:v>159</c:v>
                </c:pt>
                <c:pt idx="168">
                  <c:v>306</c:v>
                </c:pt>
                <c:pt idx="169">
                  <c:v>18</c:v>
                </c:pt>
                <c:pt idx="170">
                  <c:v>240</c:v>
                </c:pt>
                <c:pt idx="171">
                  <c:v>93</c:v>
                </c:pt>
                <c:pt idx="172">
                  <c:v>9</c:v>
                </c:pt>
                <c:pt idx="173">
                  <c:v>219</c:v>
                </c:pt>
                <c:pt idx="174">
                  <c:v>141</c:v>
                </c:pt>
                <c:pt idx="175">
                  <c:v>123</c:v>
                </c:pt>
                <c:pt idx="176">
                  <c:v>51</c:v>
                </c:pt>
                <c:pt idx="177">
                  <c:v>120</c:v>
                </c:pt>
                <c:pt idx="178">
                  <c:v>27</c:v>
                </c:pt>
                <c:pt idx="179">
                  <c:v>204</c:v>
                </c:pt>
                <c:pt idx="180">
                  <c:v>123</c:v>
                </c:pt>
                <c:pt idx="181">
                  <c:v>27</c:v>
                </c:pt>
                <c:pt idx="182">
                  <c:v>177</c:v>
                </c:pt>
                <c:pt idx="183">
                  <c:v>171</c:v>
                </c:pt>
                <c:pt idx="184">
                  <c:v>204</c:v>
                </c:pt>
                <c:pt idx="185">
                  <c:v>276</c:v>
                </c:pt>
                <c:pt idx="186">
                  <c:v>45</c:v>
                </c:pt>
                <c:pt idx="187">
                  <c:v>45</c:v>
                </c:pt>
                <c:pt idx="188">
                  <c:v>177</c:v>
                </c:pt>
                <c:pt idx="189">
                  <c:v>63</c:v>
                </c:pt>
                <c:pt idx="190">
                  <c:v>204</c:v>
                </c:pt>
                <c:pt idx="191">
                  <c:v>195</c:v>
                </c:pt>
                <c:pt idx="192">
                  <c:v>369</c:v>
                </c:pt>
                <c:pt idx="193">
                  <c:v>42</c:v>
                </c:pt>
                <c:pt idx="194">
                  <c:v>81</c:v>
                </c:pt>
                <c:pt idx="195">
                  <c:v>246</c:v>
                </c:pt>
                <c:pt idx="196">
                  <c:v>174</c:v>
                </c:pt>
                <c:pt idx="197">
                  <c:v>81</c:v>
                </c:pt>
                <c:pt idx="198">
                  <c:v>372</c:v>
                </c:pt>
                <c:pt idx="199">
                  <c:v>174</c:v>
                </c:pt>
                <c:pt idx="200">
                  <c:v>84</c:v>
                </c:pt>
                <c:pt idx="201">
                  <c:v>225</c:v>
                </c:pt>
                <c:pt idx="202">
                  <c:v>105</c:v>
                </c:pt>
                <c:pt idx="203">
                  <c:v>225</c:v>
                </c:pt>
                <c:pt idx="204">
                  <c:v>54</c:v>
                </c:pt>
                <c:pt idx="205">
                  <c:v>0</c:v>
                </c:pt>
                <c:pt idx="206">
                  <c:v>171</c:v>
                </c:pt>
                <c:pt idx="207">
                  <c:v>189</c:v>
                </c:pt>
                <c:pt idx="208">
                  <c:v>270</c:v>
                </c:pt>
                <c:pt idx="209">
                  <c:v>63</c:v>
                </c:pt>
                <c:pt idx="210">
                  <c:v>21</c:v>
                </c:pt>
                <c:pt idx="211">
                  <c:v>207</c:v>
                </c:pt>
                <c:pt idx="212">
                  <c:v>96</c:v>
                </c:pt>
                <c:pt idx="213">
                  <c:v>81</c:v>
                </c:pt>
                <c:pt idx="214">
                  <c:v>306</c:v>
                </c:pt>
                <c:pt idx="215">
                  <c:v>279</c:v>
                </c:pt>
                <c:pt idx="216">
                  <c:v>3</c:v>
                </c:pt>
                <c:pt idx="217">
                  <c:v>198</c:v>
                </c:pt>
                <c:pt idx="218">
                  <c:v>249</c:v>
                </c:pt>
                <c:pt idx="219">
                  <c:v>75</c:v>
                </c:pt>
                <c:pt idx="220">
                  <c:v>189</c:v>
                </c:pt>
                <c:pt idx="221">
                  <c:v>87</c:v>
                </c:pt>
                <c:pt idx="222">
                  <c:v>174</c:v>
                </c:pt>
                <c:pt idx="223">
                  <c:v>36</c:v>
                </c:pt>
                <c:pt idx="224">
                  <c:v>60</c:v>
                </c:pt>
                <c:pt idx="225">
                  <c:v>78</c:v>
                </c:pt>
                <c:pt idx="226">
                  <c:v>57</c:v>
                </c:pt>
                <c:pt idx="227">
                  <c:v>45</c:v>
                </c:pt>
                <c:pt idx="228">
                  <c:v>3</c:v>
                </c:pt>
                <c:pt idx="229">
                  <c:v>6</c:v>
                </c:pt>
                <c:pt idx="230">
                  <c:v>21</c:v>
                </c:pt>
                <c:pt idx="231">
                  <c:v>3</c:v>
                </c:pt>
                <c:pt idx="232">
                  <c:v>288</c:v>
                </c:pt>
                <c:pt idx="233">
                  <c:v>30</c:v>
                </c:pt>
                <c:pt idx="234">
                  <c:v>87</c:v>
                </c:pt>
                <c:pt idx="235">
                  <c:v>30</c:v>
                </c:pt>
                <c:pt idx="236">
                  <c:v>168</c:v>
                </c:pt>
                <c:pt idx="237">
                  <c:v>306</c:v>
                </c:pt>
                <c:pt idx="238">
                  <c:v>402</c:v>
                </c:pt>
                <c:pt idx="239">
                  <c:v>327</c:v>
                </c:pt>
                <c:pt idx="240">
                  <c:v>93</c:v>
                </c:pt>
                <c:pt idx="241">
                  <c:v>96</c:v>
                </c:pt>
                <c:pt idx="242">
                  <c:v>27</c:v>
                </c:pt>
                <c:pt idx="243">
                  <c:v>99</c:v>
                </c:pt>
                <c:pt idx="244">
                  <c:v>87</c:v>
                </c:pt>
                <c:pt idx="245">
                  <c:v>288</c:v>
                </c:pt>
                <c:pt idx="246">
                  <c:v>363</c:v>
                </c:pt>
                <c:pt idx="247">
                  <c:v>87</c:v>
                </c:pt>
                <c:pt idx="248">
                  <c:v>150</c:v>
                </c:pt>
                <c:pt idx="249">
                  <c:v>303</c:v>
                </c:pt>
                <c:pt idx="250">
                  <c:v>288</c:v>
                </c:pt>
                <c:pt idx="251">
                  <c:v>75</c:v>
                </c:pt>
                <c:pt idx="252">
                  <c:v>39</c:v>
                </c:pt>
                <c:pt idx="253">
                  <c:v>123</c:v>
                </c:pt>
                <c:pt idx="254">
                  <c:v>36</c:v>
                </c:pt>
                <c:pt idx="255">
                  <c:v>237</c:v>
                </c:pt>
                <c:pt idx="256">
                  <c:v>201</c:v>
                </c:pt>
                <c:pt idx="257">
                  <c:v>48</c:v>
                </c:pt>
                <c:pt idx="258">
                  <c:v>84</c:v>
                </c:pt>
                <c:pt idx="259">
                  <c:v>87</c:v>
                </c:pt>
                <c:pt idx="260">
                  <c:v>312</c:v>
                </c:pt>
                <c:pt idx="261">
                  <c:v>102</c:v>
                </c:pt>
                <c:pt idx="262">
                  <c:v>78</c:v>
                </c:pt>
                <c:pt idx="263">
                  <c:v>117</c:v>
                </c:pt>
                <c:pt idx="264">
                  <c:v>99</c:v>
                </c:pt>
                <c:pt idx="265">
                  <c:v>48</c:v>
                </c:pt>
                <c:pt idx="266">
                  <c:v>24</c:v>
                </c:pt>
                <c:pt idx="267">
                  <c:v>42</c:v>
                </c:pt>
                <c:pt idx="268">
                  <c:v>270</c:v>
                </c:pt>
                <c:pt idx="269">
                  <c:v>150</c:v>
                </c:pt>
                <c:pt idx="270">
                  <c:v>42</c:v>
                </c:pt>
                <c:pt idx="271">
                  <c:v>126</c:v>
                </c:pt>
                <c:pt idx="272">
                  <c:v>6</c:v>
                </c:pt>
                <c:pt idx="273">
                  <c:v>276</c:v>
                </c:pt>
                <c:pt idx="274">
                  <c:v>93</c:v>
                </c:pt>
                <c:pt idx="275">
                  <c:v>246</c:v>
                </c:pt>
                <c:pt idx="276">
                  <c:v>3</c:v>
                </c:pt>
                <c:pt idx="277">
                  <c:v>63</c:v>
                </c:pt>
                <c:pt idx="278">
                  <c:v>246</c:v>
                </c:pt>
                <c:pt idx="279">
                  <c:v>120</c:v>
                </c:pt>
                <c:pt idx="280">
                  <c:v>348</c:v>
                </c:pt>
                <c:pt idx="281">
                  <c:v>126</c:v>
                </c:pt>
                <c:pt idx="282">
                  <c:v>123</c:v>
                </c:pt>
                <c:pt idx="283">
                  <c:v>45</c:v>
                </c:pt>
                <c:pt idx="284">
                  <c:v>126</c:v>
                </c:pt>
                <c:pt idx="285">
                  <c:v>72</c:v>
                </c:pt>
                <c:pt idx="286">
                  <c:v>135</c:v>
                </c:pt>
                <c:pt idx="287">
                  <c:v>24</c:v>
                </c:pt>
                <c:pt idx="288">
                  <c:v>117</c:v>
                </c:pt>
                <c:pt idx="289">
                  <c:v>51</c:v>
                </c:pt>
                <c:pt idx="290">
                  <c:v>36</c:v>
                </c:pt>
                <c:pt idx="291">
                  <c:v>144</c:v>
                </c:pt>
                <c:pt idx="292">
                  <c:v>114</c:v>
                </c:pt>
                <c:pt idx="293">
                  <c:v>54</c:v>
                </c:pt>
                <c:pt idx="294">
                  <c:v>333</c:v>
                </c:pt>
                <c:pt idx="295">
                  <c:v>366</c:v>
                </c:pt>
                <c:pt idx="296">
                  <c:v>303</c:v>
                </c:pt>
                <c:pt idx="297">
                  <c:v>126</c:v>
                </c:pt>
                <c:pt idx="298">
                  <c:v>231</c:v>
                </c:pt>
                <c:pt idx="299">
                  <c:v>102</c:v>
                </c:pt>
              </c:numCache>
            </c:numRef>
          </c:yVal>
          <c:smooth val="0"/>
          <c:extLst>
            <c:ext xmlns:c16="http://schemas.microsoft.com/office/drawing/2014/chart" uri="{C3380CC4-5D6E-409C-BE32-E72D297353CC}">
              <c16:uniqueId val="{00000000-021E-4E6D-8ED4-729DE1F698BA}"/>
            </c:ext>
          </c:extLst>
        </c:ser>
        <c:dLbls>
          <c:showLegendKey val="0"/>
          <c:showVal val="0"/>
          <c:showCatName val="0"/>
          <c:showSerName val="0"/>
          <c:showPercent val="0"/>
          <c:showBubbleSize val="0"/>
        </c:dLbls>
        <c:axId val="2089126911"/>
        <c:axId val="2089125951"/>
      </c:scatterChart>
      <c:valAx>
        <c:axId val="2089126911"/>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ta-IN"/>
          </a:p>
        </c:txPr>
        <c:crossAx val="2089125951"/>
        <c:crosses val="autoZero"/>
        <c:crossBetween val="midCat"/>
      </c:valAx>
      <c:valAx>
        <c:axId val="20891259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ta-IN"/>
          </a:p>
        </c:txPr>
        <c:crossAx val="208912691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E0A06"/>
    </a:solidFill>
    <a:ln w="9525" cap="flat" cmpd="sng" algn="ctr">
      <a:solidFill>
        <a:schemeClr val="tx1">
          <a:lumMod val="15000"/>
          <a:lumOff val="85000"/>
        </a:schemeClr>
      </a:solidFill>
      <a:round/>
    </a:ln>
    <a:effectLst/>
  </c:spPr>
  <c:txPr>
    <a:bodyPr/>
    <a:lstStyle/>
    <a:p>
      <a:pPr>
        <a:defRPr>
          <a:solidFill>
            <a:schemeClr val="bg1"/>
          </a:solidFill>
        </a:defRPr>
      </a:pPr>
      <a:endParaRPr lang="ta-IN"/>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Overall Sales Amount Distribution</cx:v>
        </cx:txData>
      </cx:tx>
      <cx:txPr>
        <a:bodyPr spcFirstLastPara="1" vertOverflow="ellipsis" horzOverflow="overflow" wrap="square" lIns="0" tIns="0" rIns="0" bIns="0" anchor="ctr" anchorCtr="1"/>
        <a:lstStyle/>
        <a:p>
          <a:pPr algn="ctr" rtl="0">
            <a:defRPr/>
          </a:pPr>
          <a:r>
            <a:rPr lang="en-US" sz="1400" b="1" i="0" u="none" strike="noStrike" baseline="0">
              <a:solidFill>
                <a:schemeClr val="bg1"/>
              </a:solidFill>
              <a:latin typeface="Calibri"/>
            </a:rPr>
            <a:t>Overall Sales Amount Distribution</a:t>
          </a:r>
        </a:p>
      </cx:txPr>
    </cx:title>
    <cx:plotArea>
      <cx:plotAreaRegion>
        <cx:series layoutId="boxWhisker" uniqueId="{EC1DCBB5-BED9-41F2-8744-7C137A1941C2}">
          <cx:tx>
            <cx:txData>
              <cx:f>_xlchart.v1.0</cx:f>
              <cx:v>Amount</cx:v>
            </cx:txData>
          </cx:tx>
          <cx:spPr>
            <a:solidFill>
              <a:schemeClr val="accent2">
                <a:lumMod val="40000"/>
                <a:lumOff val="60000"/>
              </a:schemeClr>
            </a:solidFill>
            <a:ln>
              <a:solidFill>
                <a:schemeClr val="tx1"/>
              </a:solidFill>
            </a:ln>
          </cx:spPr>
          <cx:dataId val="0"/>
          <cx:layoutPr>
            <cx:visibility meanLine="0" meanMarker="1" nonoutliers="0" outliers="1"/>
            <cx:statistics quartileMethod="exclusive"/>
          </cx:layoutPr>
        </cx:series>
      </cx:plotAreaRegion>
      <cx:axis id="0">
        <cx:catScaling gapWidth="1"/>
        <cx:tick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a:endParaRPr>
          </a:p>
        </cx:txPr>
      </cx:axis>
      <cx:axis id="1">
        <cx:valScaling/>
        <cx:majorGridlines/>
        <cx:tick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a:endParaRPr>
          </a:p>
        </cx:txPr>
      </cx:axis>
    </cx:plotArea>
  </cx:chart>
  <cx:spPr>
    <a:solidFill>
      <a:srgbClr val="BE0A06"/>
    </a:soli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_xlchart.v1.4</cx:f>
      </cx:numDim>
    </cx:data>
  </cx:chartData>
  <cx:chart>
    <cx:title pos="t" align="ctr" overlay="0">
      <cx:tx>
        <cx:txData>
          <cx:v>Sales Distribution by Geography</cx:v>
        </cx:txData>
      </cx:tx>
      <cx:txPr>
        <a:bodyPr spcFirstLastPara="1" vertOverflow="ellipsis" horzOverflow="overflow" wrap="square" lIns="0" tIns="0" rIns="0" bIns="0" anchor="ctr" anchorCtr="1"/>
        <a:lstStyle/>
        <a:p>
          <a:pPr algn="ctr" rtl="0">
            <a:defRPr b="1">
              <a:solidFill>
                <a:schemeClr val="bg1"/>
              </a:solidFill>
            </a:defRPr>
          </a:pPr>
          <a:r>
            <a:rPr lang="en-US" sz="1400" b="1" i="0" u="none" strike="noStrike" baseline="0">
              <a:solidFill>
                <a:schemeClr val="bg1"/>
              </a:solidFill>
              <a:latin typeface="Calibri"/>
            </a:rPr>
            <a:t>Sales Distribution by Geography</a:t>
          </a:r>
        </a:p>
      </cx:txPr>
    </cx:title>
    <cx:plotArea>
      <cx:plotAreaRegion>
        <cx:series layoutId="boxWhisker" uniqueId="{3C09507E-2C66-4568-AAF4-74889C3B0AD9}">
          <cx:tx>
            <cx:txData>
              <cx:f>_xlchart.v1.3</cx:f>
              <cx:v>Amount</cx:v>
            </cx:txData>
          </cx:tx>
          <cx:spPr>
            <a:solidFill>
              <a:schemeClr val="accent2">
                <a:lumMod val="40000"/>
                <a:lumOff val="60000"/>
              </a:schemeClr>
            </a:solidFill>
            <a:ln>
              <a:solidFill>
                <a:schemeClr val="tx1"/>
              </a:solidFill>
            </a:ln>
          </cx:spPr>
          <cx:dataId val="0"/>
          <cx:layoutPr>
            <cx:visibility meanLine="0" meanMarker="1" nonoutliers="0" outliers="1"/>
            <cx:statistics quartileMethod="exclusive"/>
          </cx:layoutPr>
        </cx:series>
      </cx:plotAreaRegion>
      <cx:axis id="0">
        <cx:catScaling gapWidth="1"/>
        <cx:tick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a:endParaRPr>
          </a:p>
        </cx:txPr>
      </cx:axis>
      <cx:axis id="1">
        <cx:valScaling/>
        <cx:majorGridlines/>
        <cx:tick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a:endParaRPr>
          </a:p>
        </cx:txPr>
      </cx:axis>
    </cx:plotArea>
  </cx:chart>
  <cx:spPr>
    <a:solidFill>
      <a:srgbClr val="BE0A06"/>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microsoft.com/office/2014/relationships/chartEx" Target="../charts/chartEx2.xml"/><Relationship Id="rId2" Type="http://schemas.microsoft.com/office/2014/relationships/chartEx" Target="../charts/chartEx1.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6</xdr:col>
      <xdr:colOff>38100</xdr:colOff>
      <xdr:row>3</xdr:row>
      <xdr:rowOff>175261</xdr:rowOff>
    </xdr:from>
    <xdr:to>
      <xdr:col>12</xdr:col>
      <xdr:colOff>259080</xdr:colOff>
      <xdr:row>10</xdr:row>
      <xdr:rowOff>152400</xdr:rowOff>
    </xdr:to>
    <mc:AlternateContent xmlns:mc="http://schemas.openxmlformats.org/markup-compatibility/2006" xmlns:a14="http://schemas.microsoft.com/office/drawing/2010/main">
      <mc:Choice Requires="a14">
        <xdr:graphicFrame macro="">
          <xdr:nvGraphicFramePr>
            <xdr:cNvPr id="4" name="Sales Person">
              <a:extLst>
                <a:ext uri="{FF2B5EF4-FFF2-40B4-BE49-F238E27FC236}">
                  <a16:creationId xmlns:a16="http://schemas.microsoft.com/office/drawing/2014/main" id="{15CFC17D-24E5-8371-8A92-B10406D3FCCD}"/>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4762500" y="723901"/>
              <a:ext cx="4213860" cy="1341119"/>
            </a:xfrm>
            <a:prstGeom prst="rect">
              <a:avLst/>
            </a:prstGeom>
            <a:solidFill>
              <a:prstClr val="white"/>
            </a:solidFill>
            <a:ln w="1">
              <a:solidFill>
                <a:prstClr val="green"/>
              </a:solidFill>
            </a:ln>
          </xdr:spPr>
          <xdr:txBody>
            <a:bodyPr vertOverflow="clip" horzOverflow="clip"/>
            <a:lstStyle/>
            <a:p>
              <a:r>
                <a:rPr lang="ta-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601980</xdr:colOff>
      <xdr:row>6</xdr:row>
      <xdr:rowOff>9589</xdr:rowOff>
    </xdr:from>
    <xdr:to>
      <xdr:col>10</xdr:col>
      <xdr:colOff>30480</xdr:colOff>
      <xdr:row>21</xdr:row>
      <xdr:rowOff>93409</xdr:rowOff>
    </xdr:to>
    <xdr:graphicFrame macro="">
      <xdr:nvGraphicFramePr>
        <xdr:cNvPr id="2" name="Chart 1">
          <a:extLst>
            <a:ext uri="{FF2B5EF4-FFF2-40B4-BE49-F238E27FC236}">
              <a16:creationId xmlns:a16="http://schemas.microsoft.com/office/drawing/2014/main" id="{6D91DDBD-F0FA-8957-2507-02A79E6D55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24318</xdr:colOff>
      <xdr:row>40</xdr:row>
      <xdr:rowOff>16933</xdr:rowOff>
    </xdr:from>
    <xdr:to>
      <xdr:col>6</xdr:col>
      <xdr:colOff>491067</xdr:colOff>
      <xdr:row>55</xdr:row>
      <xdr:rowOff>118533</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8821FE6A-CEC7-66E1-6ABF-8F57683EE6F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33918" y="7332133"/>
              <a:ext cx="3514749" cy="28448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16934</xdr:colOff>
      <xdr:row>23</xdr:row>
      <xdr:rowOff>170233</xdr:rowOff>
    </xdr:from>
    <xdr:to>
      <xdr:col>10</xdr:col>
      <xdr:colOff>59268</xdr:colOff>
      <xdr:row>37</xdr:row>
      <xdr:rowOff>178340</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CFCA85A1-5EE4-6C63-6A98-A0AE16906CB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626534" y="4376473"/>
              <a:ext cx="5528734" cy="256842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4</xdr:row>
      <xdr:rowOff>7621</xdr:rowOff>
    </xdr:from>
    <xdr:to>
      <xdr:col>7</xdr:col>
      <xdr:colOff>129540</xdr:colOff>
      <xdr:row>15</xdr:row>
      <xdr:rowOff>167641</xdr:rowOff>
    </xdr:to>
    <mc:AlternateContent xmlns:mc="http://schemas.openxmlformats.org/markup-compatibility/2006" xmlns:a14="http://schemas.microsoft.com/office/drawing/2010/main">
      <mc:Choice Requires="a14">
        <xdr:graphicFrame macro="">
          <xdr:nvGraphicFramePr>
            <xdr:cNvPr id="2" name="Geography">
              <a:extLst>
                <a:ext uri="{FF2B5EF4-FFF2-40B4-BE49-F238E27FC236}">
                  <a16:creationId xmlns:a16="http://schemas.microsoft.com/office/drawing/2014/main" id="{235D9B92-ADFD-CDBD-3F26-A6213CC8C31C}"/>
                </a:ext>
              </a:extLst>
            </xdr:cNvPr>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mlns="">
        <xdr:sp macro="" textlink="">
          <xdr:nvSpPr>
            <xdr:cNvPr id="0" name=""/>
            <xdr:cNvSpPr>
              <a:spLocks noTextEdit="1"/>
            </xdr:cNvSpPr>
          </xdr:nvSpPr>
          <xdr:spPr>
            <a:xfrm>
              <a:off x="3329940" y="739141"/>
              <a:ext cx="2194560" cy="2263140"/>
            </a:xfrm>
            <a:prstGeom prst="rect">
              <a:avLst/>
            </a:prstGeom>
            <a:solidFill>
              <a:prstClr val="white"/>
            </a:solidFill>
            <a:ln w="1">
              <a:solidFill>
                <a:prstClr val="green"/>
              </a:solidFill>
            </a:ln>
          </xdr:spPr>
          <xdr:txBody>
            <a:bodyPr vertOverflow="clip" horzOverflow="clip"/>
            <a:lstStyle/>
            <a:p>
              <a:r>
                <a:rPr lang="ta-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0</xdr:colOff>
      <xdr:row>5</xdr:row>
      <xdr:rowOff>22860</xdr:rowOff>
    </xdr:from>
    <xdr:to>
      <xdr:col>10</xdr:col>
      <xdr:colOff>0</xdr:colOff>
      <xdr:row>16</xdr:row>
      <xdr:rowOff>112395</xdr:rowOff>
    </xdr:to>
    <mc:AlternateContent xmlns:mc="http://schemas.openxmlformats.org/markup-compatibility/2006" xmlns:a14="http://schemas.microsoft.com/office/drawing/2010/main">
      <mc:Choice Requires="a14">
        <xdr:graphicFrame macro="">
          <xdr:nvGraphicFramePr>
            <xdr:cNvPr id="2" name="Geography 1">
              <a:extLst>
                <a:ext uri="{FF2B5EF4-FFF2-40B4-BE49-F238E27FC236}">
                  <a16:creationId xmlns:a16="http://schemas.microsoft.com/office/drawing/2014/main" id="{B2840231-D0E0-BB8D-18F7-EE79D2B524C3}"/>
                </a:ext>
              </a:extLst>
            </xdr:cNvPr>
            <xdr:cNvGraphicFramePr/>
          </xdr:nvGraphicFramePr>
          <xdr:xfrm>
            <a:off x="0" y="0"/>
            <a:ext cx="0" cy="0"/>
          </xdr:xfrm>
          <a:graphic>
            <a:graphicData uri="http://schemas.microsoft.com/office/drawing/2010/slicer">
              <sle:slicer xmlns:sle="http://schemas.microsoft.com/office/drawing/2010/slicer" name="Geography 1"/>
            </a:graphicData>
          </a:graphic>
        </xdr:graphicFrame>
      </mc:Choice>
      <mc:Fallback xmlns="">
        <xdr:sp macro="" textlink="">
          <xdr:nvSpPr>
            <xdr:cNvPr id="0" name=""/>
            <xdr:cNvSpPr>
              <a:spLocks noTextEdit="1"/>
            </xdr:cNvSpPr>
          </xdr:nvSpPr>
          <xdr:spPr>
            <a:xfrm>
              <a:off x="6134100" y="937260"/>
              <a:ext cx="1828800" cy="2238375"/>
            </a:xfrm>
            <a:prstGeom prst="rect">
              <a:avLst/>
            </a:prstGeom>
            <a:solidFill>
              <a:prstClr val="white"/>
            </a:solidFill>
            <a:ln w="1">
              <a:solidFill>
                <a:prstClr val="green"/>
              </a:solidFill>
            </a:ln>
          </xdr:spPr>
          <xdr:txBody>
            <a:bodyPr vertOverflow="clip" horzOverflow="clip"/>
            <a:lstStyle/>
            <a:p>
              <a:r>
                <a:rPr lang="ta-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hika sundar" refreshedDate="46068.425384490743" backgroundQuery="1" createdVersion="8" refreshedVersion="8" minRefreshableVersion="3" recordCount="0" supportSubquery="1" supportAdvancedDrill="1" xr:uid="{1EF8A37C-1D0E-458E-B1D4-0CB188CA55C9}">
  <cacheSource type="external" connectionId="1"/>
  <cacheFields count="2">
    <cacheField name="[data].[Product].[Product]" caption="Product" numFmtId="0" hierarchy="2" level="1">
      <sharedItems count="5">
        <s v="85% Dark Bars"/>
        <s v="After Nines"/>
        <s v="Baker's Choco Chips"/>
        <s v="Peanut Butter Cubes"/>
        <s v="Raspberry Choco"/>
      </sharedItems>
    </cacheField>
    <cacheField name="[Measures].[Sales per unit]" caption="Sales per unit" numFmtId="0" hierarchy="11" level="32767"/>
  </cacheFields>
  <cacheHierarchies count="16">
    <cacheHierarchy uniqueName="[data].[Sales Person]" caption="Sales Person" attribute="1" defaultMemberUniqueName="[data].[Sales Person].[All]" allUniqueName="[data].[Sales Person].[All]" dimensionUniqueName="[data]" displayFolder="" count="0" memberValueDatatype="130" unbalanced="0"/>
    <cacheHierarchy uniqueName="[data].[Geography]" caption="Geography" attribute="1" defaultMemberUniqueName="[data].[Geography].[All]" allUniqueName="[data].[Geography].[All]" dimensionUniqueName="[data]" displayFolder="" count="0" memberValueDatatype="130" unbalanced="0"/>
    <cacheHierarchy uniqueName="[data].[Product]" caption="Product" attribute="1" defaultMemberUniqueName="[data].[Product].[All]" allUniqueName="[data].[Product].[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5" unbalanced="0"/>
    <cacheHierarchy uniqueName="[data].[cost]" caption="cost" attribute="1" defaultMemberUniqueName="[data].[cost].[All]" allUniqueName="[data].[cost].[All]" dimensionUniqueName="[data]" displayFolder="" count="0" memberValueDatatype="5" unbalanced="0"/>
    <cacheHierarchy uniqueName="[Measures].[Sum of Units]" caption="Sum of Units" measure="1" displayFolder="" measureGroup="data" count="0">
      <extLst>
        <ext xmlns:x15="http://schemas.microsoft.com/office/spreadsheetml/2010/11/main" uri="{B97F6D7D-B522-45F9-BDA1-12C45D357490}">
          <x15:cacheHierarchy aggregatedColumn="4"/>
        </ext>
      </extLst>
    </cacheHierarchy>
    <cacheHierarchy uniqueName="[Measures].[Sum of Amount]" caption="Sum of Amount" measure="1" displayFolder="" measureGroup="data" count="0">
      <extLst>
        <ext xmlns:x15="http://schemas.microsoft.com/office/spreadsheetml/2010/11/main" uri="{B97F6D7D-B522-45F9-BDA1-12C45D357490}">
          <x15:cacheHierarchy aggregatedColumn="3"/>
        </ext>
      </extLst>
    </cacheHierarchy>
    <cacheHierarchy uniqueName="[Measures].[Sum of cost]" caption="Sum of cost" measure="1" displayFolder="" measureGroup="data" count="0">
      <extLst>
        <ext xmlns:x15="http://schemas.microsoft.com/office/spreadsheetml/2010/11/main" uri="{B97F6D7D-B522-45F9-BDA1-12C45D357490}">
          <x15:cacheHierarchy aggregatedColumn="6"/>
        </ext>
      </extLst>
    </cacheHierarchy>
    <cacheHierarchy uniqueName="[Measures].[Count of Geography]" caption="Count of Geography" measure="1" displayFolder="" measureGroup="data" count="0">
      <extLst>
        <ext xmlns:x15="http://schemas.microsoft.com/office/spreadsheetml/2010/11/main" uri="{B97F6D7D-B522-45F9-BDA1-12C45D357490}">
          <x15:cacheHierarchy aggregatedColumn="1"/>
        </ext>
      </extLst>
    </cacheHierarchy>
    <cacheHierarchy uniqueName="[Measures].[Sales per unit]" caption="Sales per unit" measure="1" displayFolder="" measureGroup="data" count="0" oneField="1">
      <fieldsUsage count="1">
        <fieldUsage x="1"/>
      </fieldsUsage>
    </cacheHierarchy>
    <cacheHierarchy uniqueName="[Measures].[Total Profit]" caption="Total Profit" measure="1" displayFolder="" measureGroup="data" count="0"/>
    <cacheHierarchy uniqueName="[Measures].[Profit%]" caption="Profit%"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hika S" refreshedDate="46070.80694490741" createdVersion="8" refreshedVersion="8" minRefreshableVersion="3" recordCount="300" xr:uid="{C97C6A7E-DED8-4BCD-9F7F-13F998220B7E}">
  <cacheSource type="worksheet">
    <worksheetSource name="data"/>
  </cacheSource>
  <cacheFields count="9">
    <cacheField name="Sales Person" numFmtId="0">
      <sharedItems count="10">
        <s v="Ram Mahesh"/>
        <s v="Brien Boise"/>
        <s v="Husein Augar"/>
        <s v="Carla Molina"/>
        <s v="Curtice Advani"/>
        <s v="Ches Bonnell"/>
        <s v="Gigi Bohling"/>
        <s v="Barr Faughny"/>
        <s v="Gunar Cockshoot"/>
        <s v="Oby Sorrel"/>
      </sharedItems>
    </cacheField>
    <cacheField name="Geography" numFmtId="0">
      <sharedItems count="6">
        <s v="New Zealand"/>
        <s v="USA"/>
        <s v="Canada"/>
        <s v="UK"/>
        <s v="Australia"/>
        <s v="India"/>
      </sharedItems>
    </cacheField>
    <cacheField name="Product" numFmtId="0">
      <sharedItems/>
    </cacheField>
    <cacheField name="Amount" numFmtId="166">
      <sharedItems containsSemiMixedTypes="0" containsString="0" containsNumber="1" containsInteger="1" minValue="0" maxValue="16184"/>
    </cacheField>
    <cacheField name="Units" numFmtId="3">
      <sharedItems containsSemiMixedTypes="0" containsString="0" containsNumber="1" containsInteger="1" minValue="0" maxValue="525"/>
    </cacheField>
    <cacheField name="Cost per unit" numFmtId="0">
      <sharedItems containsSemiMixedTypes="0" containsString="0" containsNumber="1" minValue="3.11" maxValue="16.73"/>
    </cacheField>
    <cacheField name="cost" numFmtId="0">
      <sharedItems containsSemiMixedTypes="0" containsString="0" containsNumber="1" minValue="0" maxValue="8682.8700000000008"/>
    </cacheField>
    <cacheField name="Field1" numFmtId="0" formula=" 0" databaseField="0"/>
    <cacheField name="Field2" numFmtId="0" formula=" 0" databaseField="0"/>
  </cacheFields>
  <extLst>
    <ext xmlns:x14="http://schemas.microsoft.com/office/spreadsheetml/2009/9/main" uri="{725AE2AE-9491-48be-B2B4-4EB974FC3084}">
      <x14:pivotCacheDefinition pivotCacheId="17762600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hika S" refreshedDate="46071.81358263889" backgroundQuery="1" createdVersion="8" refreshedVersion="8" minRefreshableVersion="3" recordCount="0" supportSubquery="1" supportAdvancedDrill="1" xr:uid="{B11C096D-295F-45E4-87F2-36A3E365EA1A}">
  <cacheSource type="external" connectionId="1"/>
  <cacheFields count="3">
    <cacheField name="[data].[Product].[Product]" caption="Product" numFmtId="0" hierarchy="2" level="1">
      <sharedItems count="22">
        <s v="50% Dark Bites"/>
        <s v="70% Dark Bites"/>
        <s v="85% Dark Bars"/>
        <s v="99% Dark &amp; Pure"/>
        <s v="After Nines"/>
        <s v="Almond Choco"/>
        <s v="Baker's Choco Chips"/>
        <s v="Caramel Stuffed Bars"/>
        <s v="Choco Coated Almonds"/>
        <s v="Drinking Coco"/>
        <s v="Eclairs"/>
        <s v="Fruit &amp; Nut Bars"/>
        <s v="Manuka Honey Choco"/>
        <s v="Milk Bars"/>
        <s v="Mint Chip Choco"/>
        <s v="Orange Choco"/>
        <s v="Organic Choco Syrup"/>
        <s v="Peanut Butter Cubes"/>
        <s v="Raspberry Choco"/>
        <s v="Smooth Sliky Salty"/>
        <s v="Spicy Special Slims"/>
        <s v="White Choc"/>
      </sharedItems>
    </cacheField>
    <cacheField name="[Measures].[Total Profit]" caption="Total Profit" numFmtId="0" hierarchy="12" level="32767"/>
    <cacheField name="[data].[Geography].[Geography]" caption="Geography" numFmtId="0" hierarchy="1" level="1">
      <sharedItems containsSemiMixedTypes="0" containsNonDate="0" containsString="0"/>
    </cacheField>
  </cacheFields>
  <cacheHierarchies count="16">
    <cacheHierarchy uniqueName="[data].[Sales Person]" caption="Sales Person" attribute="1" defaultMemberUniqueName="[data].[Sales Person].[All]" allUniqueName="[data].[Sales Person].[All]" dimensionUniqueName="[data]" displayFolder="" count="0" memberValueDatatype="130" unbalanced="0"/>
    <cacheHierarchy uniqueName="[data].[Geography]" caption="Geography" attribute="1" defaultMemberUniqueName="[data].[Geography].[All]" allUniqueName="[data].[Geography].[All]" dimensionUniqueName="[data]" displayFolder="" count="2" memberValueDatatype="130" unbalanced="0">
      <fieldsUsage count="2">
        <fieldUsage x="-1"/>
        <fieldUsage x="2"/>
      </fieldsUsage>
    </cacheHierarchy>
    <cacheHierarchy uniqueName="[data].[Product]" caption="Product" attribute="1" defaultMemberUniqueName="[data].[Product].[All]" allUniqueName="[data].[Product].[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5" unbalanced="0"/>
    <cacheHierarchy uniqueName="[data].[cost]" caption="cost" attribute="1" defaultMemberUniqueName="[data].[cost].[All]" allUniqueName="[data].[cost].[All]" dimensionUniqueName="[data]" displayFolder="" count="0" memberValueDatatype="5" unbalanced="0"/>
    <cacheHierarchy uniqueName="[Measures].[Sum of Units]" caption="Sum of Units" measure="1" displayFolder="" measureGroup="data" count="0">
      <extLst>
        <ext xmlns:x15="http://schemas.microsoft.com/office/spreadsheetml/2010/11/main" uri="{B97F6D7D-B522-45F9-BDA1-12C45D357490}">
          <x15:cacheHierarchy aggregatedColumn="4"/>
        </ext>
      </extLst>
    </cacheHierarchy>
    <cacheHierarchy uniqueName="[Measures].[Sum of Amount]" caption="Sum of Amount" measure="1" displayFolder="" measureGroup="data" count="0">
      <extLst>
        <ext xmlns:x15="http://schemas.microsoft.com/office/spreadsheetml/2010/11/main" uri="{B97F6D7D-B522-45F9-BDA1-12C45D357490}">
          <x15:cacheHierarchy aggregatedColumn="3"/>
        </ext>
      </extLst>
    </cacheHierarchy>
    <cacheHierarchy uniqueName="[Measures].[Sum of cost]" caption="Sum of cost" measure="1" displayFolder="" measureGroup="data" count="0">
      <extLst>
        <ext xmlns:x15="http://schemas.microsoft.com/office/spreadsheetml/2010/11/main" uri="{B97F6D7D-B522-45F9-BDA1-12C45D357490}">
          <x15:cacheHierarchy aggregatedColumn="6"/>
        </ext>
      </extLst>
    </cacheHierarchy>
    <cacheHierarchy uniqueName="[Measures].[Count of Geography]" caption="Count of Geography" measure="1" displayFolder="" measureGroup="data" count="0">
      <extLst>
        <ext xmlns:x15="http://schemas.microsoft.com/office/spreadsheetml/2010/11/main" uri="{B97F6D7D-B522-45F9-BDA1-12C45D357490}">
          <x15:cacheHierarchy aggregatedColumn="1"/>
        </ext>
      </extLst>
    </cacheHierarchy>
    <cacheHierarchy uniqueName="[Measures].[Sales per unit]" caption="Sales per unit" measure="1" displayFolder="" measureGroup="data" count="0"/>
    <cacheHierarchy uniqueName="[Measures].[Total Profit]" caption="Total Profit" measure="1" displayFolder="" measureGroup="data" count="0" oneField="1">
      <fieldsUsage count="1">
        <fieldUsage x="1"/>
      </fieldsUsage>
    </cacheHierarchy>
    <cacheHierarchy uniqueName="[Measures].[Profit%]" caption="Profit%"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hika S" refreshedDate="46071.821667245371" backgroundQuery="1" createdVersion="8" refreshedVersion="8" minRefreshableVersion="3" recordCount="0" supportSubquery="1" supportAdvancedDrill="1" xr:uid="{F0530CB7-5CE1-41DB-9A7F-645B87D8CDD1}">
  <cacheSource type="external" connectionId="1"/>
  <cacheFields count="6">
    <cacheField name="[data].[Product].[Product]" caption="Product" numFmtId="0" hierarchy="2" level="1">
      <sharedItems count="22">
        <s v="50% Dark Bites"/>
        <s v="70% Dark Bites"/>
        <s v="85% Dark Bars"/>
        <s v="99% Dark &amp; Pure"/>
        <s v="After Nines"/>
        <s v="Almond Choco"/>
        <s v="Baker's Choco Chips"/>
        <s v="Caramel Stuffed Bars"/>
        <s v="Choco Coated Almonds"/>
        <s v="Drinking Coco"/>
        <s v="Eclairs"/>
        <s v="Fruit &amp; Nut Bars"/>
        <s v="Manuka Honey Choco"/>
        <s v="Milk Bars"/>
        <s v="Mint Chip Choco"/>
        <s v="Orange Choco"/>
        <s v="Organic Choco Syrup"/>
        <s v="Peanut Butter Cubes"/>
        <s v="Raspberry Choco"/>
        <s v="Smooth Sliky Salty"/>
        <s v="Spicy Special Slims"/>
        <s v="White Choc"/>
      </sharedItems>
    </cacheField>
    <cacheField name="[Measures].[Sum of Amount]" caption="Sum of Amount" numFmtId="0" hierarchy="8" level="32767"/>
    <cacheField name="[Measures].[Sum of Units]" caption="Sum of Units" numFmtId="0" hierarchy="7" level="32767"/>
    <cacheField name="[Measures].[Total Profit]" caption="Total Profit" numFmtId="0" hierarchy="12" level="32767"/>
    <cacheField name="[Measures].[Profit%]" caption="Profit%" numFmtId="0" hierarchy="13" level="32767"/>
    <cacheField name="[data].[Geography].[Geography]" caption="Geography" numFmtId="0" hierarchy="1" level="1">
      <sharedItems containsSemiMixedTypes="0" containsNonDate="0" containsString="0"/>
    </cacheField>
  </cacheFields>
  <cacheHierarchies count="16">
    <cacheHierarchy uniqueName="[data].[Sales Person]" caption="Sales Person" attribute="1" defaultMemberUniqueName="[data].[Sales Person].[All]" allUniqueName="[data].[Sales Person].[All]" dimensionUniqueName="[data]" displayFolder="" count="0" memberValueDatatype="130" unbalanced="0"/>
    <cacheHierarchy uniqueName="[data].[Geography]" caption="Geography" attribute="1" defaultMemberUniqueName="[data].[Geography].[All]" allUniqueName="[data].[Geography].[All]" dimensionUniqueName="[data]" displayFolder="" count="2" memberValueDatatype="130" unbalanced="0">
      <fieldsUsage count="2">
        <fieldUsage x="-1"/>
        <fieldUsage x="5"/>
      </fieldsUsage>
    </cacheHierarchy>
    <cacheHierarchy uniqueName="[data].[Product]" caption="Product" attribute="1" defaultMemberUniqueName="[data].[Product].[All]" allUniqueName="[data].[Product].[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5" unbalanced="0"/>
    <cacheHierarchy uniqueName="[data].[cost]" caption="cost" attribute="1" defaultMemberUniqueName="[data].[cost].[All]" allUniqueName="[data].[cost].[All]" dimensionUniqueName="[data]" displayFolder="" count="0" memberValueDatatype="5" unbalanced="0"/>
    <cacheHierarchy uniqueName="[Measures].[Sum of Units]" caption="Sum of Units" measure="1" displayFolder="" measureGroup="data" count="0" oneField="1">
      <fieldsUsage count="1">
        <fieldUsage x="2"/>
      </fieldsUsage>
      <extLst>
        <ext xmlns:x15="http://schemas.microsoft.com/office/spreadsheetml/2010/11/main" uri="{B97F6D7D-B522-45F9-BDA1-12C45D357490}">
          <x15:cacheHierarchy aggregatedColumn="4"/>
        </ext>
      </extLst>
    </cacheHierarchy>
    <cacheHierarchy uniqueName="[Measures].[Sum of Amount]" caption="Sum of Amount" measure="1" displayFolder="" measureGroup="data" count="0" oneField="1">
      <fieldsUsage count="1">
        <fieldUsage x="1"/>
      </fieldsUsage>
      <extLst>
        <ext xmlns:x15="http://schemas.microsoft.com/office/spreadsheetml/2010/11/main" uri="{B97F6D7D-B522-45F9-BDA1-12C45D357490}">
          <x15:cacheHierarchy aggregatedColumn="3"/>
        </ext>
      </extLst>
    </cacheHierarchy>
    <cacheHierarchy uniqueName="[Measures].[Sum of cost]" caption="Sum of cost" measure="1" displayFolder="" measureGroup="data" count="0">
      <extLst>
        <ext xmlns:x15="http://schemas.microsoft.com/office/spreadsheetml/2010/11/main" uri="{B97F6D7D-B522-45F9-BDA1-12C45D357490}">
          <x15:cacheHierarchy aggregatedColumn="6"/>
        </ext>
      </extLst>
    </cacheHierarchy>
    <cacheHierarchy uniqueName="[Measures].[Count of Geography]" caption="Count of Geography" measure="1" displayFolder="" measureGroup="data" count="0">
      <extLst>
        <ext xmlns:x15="http://schemas.microsoft.com/office/spreadsheetml/2010/11/main" uri="{B97F6D7D-B522-45F9-BDA1-12C45D357490}">
          <x15:cacheHierarchy aggregatedColumn="1"/>
        </ext>
      </extLst>
    </cacheHierarchy>
    <cacheHierarchy uniqueName="[Measures].[Sales per unit]" caption="Sales per unit" measure="1" displayFolder="" measureGroup="data" count="0"/>
    <cacheHierarchy uniqueName="[Measures].[Total Profit]" caption="Total Profit" measure="1" displayFolder="" measureGroup="data" count="0" oneField="1">
      <fieldsUsage count="1">
        <fieldUsage x="3"/>
      </fieldsUsage>
    </cacheHierarchy>
    <cacheHierarchy uniqueName="[Measures].[Profit%]" caption="Profit%" measure="1" displayFolder="" measureGroup="data" count="0" oneField="1">
      <fieldsUsage count="1">
        <fieldUsage x="4"/>
      </fieldsUsage>
    </cacheHierarchy>
    <cacheHierarchy uniqueName="[Measures].[__XL_Count data]" caption="__XL_Count data" measure="1" displayFolder="" measureGroup="data" count="0" hidden="1"/>
    <cacheHierarchy uniqueName="[Measures].[__No measures defined]" caption="__No measures defined" measure="1" displayFolder="" count="0" hidden="1"/>
  </cacheHierarchies>
  <kpis count="0"/>
  <dimensions count="2">
    <dimension name="data" uniqueName="[data]" caption="data"/>
    <dimension measure="1" name="Measures" uniqueName="[Measures]" caption="Measures"/>
  </dimensions>
  <measureGroups count="1">
    <measureGroup name="data" captio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hika sundar" refreshedDate="46068.425381828703" backgroundQuery="1" createdVersion="3" refreshedVersion="8" minRefreshableVersion="3" recordCount="0" supportSubquery="1" supportAdvancedDrill="1" xr:uid="{C4A07219-C9EC-4EA1-B78B-C52754BB4876}">
  <cacheSource type="external" connectionId="1">
    <extLst>
      <ext xmlns:x14="http://schemas.microsoft.com/office/spreadsheetml/2009/9/main" uri="{F057638F-6D5F-4e77-A914-E7F072B9BCA8}">
        <x14:sourceConnection name="ThisWorkbookDataModel"/>
      </ext>
    </extLst>
  </cacheSource>
  <cacheFields count="0"/>
  <cacheHierarchies count="16">
    <cacheHierarchy uniqueName="[data].[Sales Person]" caption="Sales Person" attribute="1" defaultMemberUniqueName="[data].[Sales Person].[All]" allUniqueName="[data].[Sales Person].[All]" dimensionUniqueName="[data]" displayFolder="" count="0" memberValueDatatype="130" unbalanced="0"/>
    <cacheHierarchy uniqueName="[data].[Geography]" caption="Geography" attribute="1" defaultMemberUniqueName="[data].[Geography].[All]" allUniqueName="[data].[Geography].[All]" dimensionUniqueName="[data]" displayFolder="" count="2" memberValueDatatype="130" unbalanced="0"/>
    <cacheHierarchy uniqueName="[data].[Product]" caption="Product" attribute="1" defaultMemberUniqueName="[data].[Product].[All]" allUniqueName="[data].[Product].[All]" dimensionUniqueName="[data]" displayFolder="" count="0" memberValueDatatype="130" unbalanced="0"/>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5" unbalanced="0"/>
    <cacheHierarchy uniqueName="[data].[cost]" caption="cost" attribute="1" defaultMemberUniqueName="[data].[cost].[All]" allUniqueName="[data].[cost].[All]" dimensionUniqueName="[data]" displayFolder="" count="0" memberValueDatatype="5" unbalanced="0"/>
    <cacheHierarchy uniqueName="[Measures].[Sum of Units]" caption="Sum of Units" measure="1" displayFolder="" measureGroup="data" count="0">
      <extLst>
        <ext xmlns:x15="http://schemas.microsoft.com/office/spreadsheetml/2010/11/main" uri="{B97F6D7D-B522-45F9-BDA1-12C45D357490}">
          <x15:cacheHierarchy aggregatedColumn="4"/>
        </ext>
      </extLst>
    </cacheHierarchy>
    <cacheHierarchy uniqueName="[Measures].[Sum of Amount]" caption="Sum of Amount" measure="1" displayFolder="" measureGroup="data" count="0">
      <extLst>
        <ext xmlns:x15="http://schemas.microsoft.com/office/spreadsheetml/2010/11/main" uri="{B97F6D7D-B522-45F9-BDA1-12C45D357490}">
          <x15:cacheHierarchy aggregatedColumn="3"/>
        </ext>
      </extLst>
    </cacheHierarchy>
    <cacheHierarchy uniqueName="[Measures].[Sum of cost]" caption="Sum of cost" measure="1" displayFolder="" measureGroup="data" count="0">
      <extLst>
        <ext xmlns:x15="http://schemas.microsoft.com/office/spreadsheetml/2010/11/main" uri="{B97F6D7D-B522-45F9-BDA1-12C45D357490}">
          <x15:cacheHierarchy aggregatedColumn="6"/>
        </ext>
      </extLst>
    </cacheHierarchy>
    <cacheHierarchy uniqueName="[Measures].[Count of Geography]" caption="Count of Geography" measure="1" displayFolder="" measureGroup="data" count="0">
      <extLst>
        <ext xmlns:x15="http://schemas.microsoft.com/office/spreadsheetml/2010/11/main" uri="{B97F6D7D-B522-45F9-BDA1-12C45D357490}">
          <x15:cacheHierarchy aggregatedColumn="1"/>
        </ext>
      </extLst>
    </cacheHierarchy>
    <cacheHierarchy uniqueName="[Measures].[Sales per unit]" caption="Sales per unit" measure="1" displayFolder="" measureGroup="data" count="0"/>
    <cacheHierarchy uniqueName="[Measures].[Total Profit]" caption="Total Profit" measure="1" displayFolder="" measureGroup="data" count="0"/>
    <cacheHierarchy uniqueName="[Measures].[Profit%]" caption="Profit%"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58832094"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thika sundar" refreshedDate="46068.432922800923" backgroundQuery="1" createdVersion="3" refreshedVersion="8" minRefreshableVersion="3" recordCount="0" supportSubquery="1" supportAdvancedDrill="1" xr:uid="{E63B3ED7-5E49-4471-B8EC-27A55BC55EDC}">
  <cacheSource type="external" connectionId="1">
    <extLst>
      <ext xmlns:x14="http://schemas.microsoft.com/office/spreadsheetml/2009/9/main" uri="{F057638F-6D5F-4e77-A914-E7F072B9BCA8}">
        <x14:sourceConnection name="ThisWorkbookDataModel"/>
      </ext>
    </extLst>
  </cacheSource>
  <cacheFields count="0"/>
  <cacheHierarchies count="16">
    <cacheHierarchy uniqueName="[data].[Sales Person]" caption="Sales Person" attribute="1" defaultMemberUniqueName="[data].[Sales Person].[All]" allUniqueName="[data].[Sales Person].[All]" dimensionUniqueName="[data]" displayFolder="" count="0" memberValueDatatype="130" unbalanced="0"/>
    <cacheHierarchy uniqueName="[data].[Geography]" caption="Geography" attribute="1" defaultMemberUniqueName="[data].[Geography].[All]" allUniqueName="[data].[Geography].[All]" dimensionUniqueName="[data]" displayFolder="" count="2" memberValueDatatype="130" unbalanced="0"/>
    <cacheHierarchy uniqueName="[data].[Product]" caption="Product" attribute="1" defaultMemberUniqueName="[data].[Product].[All]" allUniqueName="[data].[Product].[All]" dimensionUniqueName="[data]" displayFolder="" count="0" memberValueDatatype="130" unbalanced="0"/>
    <cacheHierarchy uniqueName="[data].[Amount]" caption="Amount" attribute="1" defaultMemberUniqueName="[data].[Amount].[All]" allUniqueName="[data].[Amount].[All]" dimensionUniqueName="[data]" displayFolder="" count="0" memberValueDatatype="20" unbalanced="0"/>
    <cacheHierarchy uniqueName="[data].[Units]" caption="Units" attribute="1" defaultMemberUniqueName="[data].[Units].[All]" allUniqueName="[data].[Units].[All]" dimensionUniqueName="[data]" displayFolder="" count="0" memberValueDatatype="20" unbalanced="0"/>
    <cacheHierarchy uniqueName="[data].[Cost per unit]" caption="Cost per unit" attribute="1" defaultMemberUniqueName="[data].[Cost per unit].[All]" allUniqueName="[data].[Cost per unit].[All]" dimensionUniqueName="[data]" displayFolder="" count="0" memberValueDatatype="5" unbalanced="0"/>
    <cacheHierarchy uniqueName="[data].[cost]" caption="cost" attribute="1" defaultMemberUniqueName="[data].[cost].[All]" allUniqueName="[data].[cost].[All]" dimensionUniqueName="[data]" displayFolder="" count="0" memberValueDatatype="5" unbalanced="0"/>
    <cacheHierarchy uniqueName="[Measures].[Sum of Units]" caption="Sum of Units" measure="1" displayFolder="" measureGroup="data" count="0">
      <extLst>
        <ext xmlns:x15="http://schemas.microsoft.com/office/spreadsheetml/2010/11/main" uri="{B97F6D7D-B522-45F9-BDA1-12C45D357490}">
          <x15:cacheHierarchy aggregatedColumn="4"/>
        </ext>
      </extLst>
    </cacheHierarchy>
    <cacheHierarchy uniqueName="[Measures].[Sum of Amount]" caption="Sum of Amount" measure="1" displayFolder="" measureGroup="data" count="0">
      <extLst>
        <ext xmlns:x15="http://schemas.microsoft.com/office/spreadsheetml/2010/11/main" uri="{B97F6D7D-B522-45F9-BDA1-12C45D357490}">
          <x15:cacheHierarchy aggregatedColumn="3"/>
        </ext>
      </extLst>
    </cacheHierarchy>
    <cacheHierarchy uniqueName="[Measures].[Sum of cost]" caption="Sum of cost" measure="1" displayFolder="" measureGroup="data" count="0">
      <extLst>
        <ext xmlns:x15="http://schemas.microsoft.com/office/spreadsheetml/2010/11/main" uri="{B97F6D7D-B522-45F9-BDA1-12C45D357490}">
          <x15:cacheHierarchy aggregatedColumn="6"/>
        </ext>
      </extLst>
    </cacheHierarchy>
    <cacheHierarchy uniqueName="[Measures].[Count of Geography]" caption="Count of Geography" measure="1" displayFolder="" measureGroup="data" count="0">
      <extLst>
        <ext xmlns:x15="http://schemas.microsoft.com/office/spreadsheetml/2010/11/main" uri="{B97F6D7D-B522-45F9-BDA1-12C45D357490}">
          <x15:cacheHierarchy aggregatedColumn="1"/>
        </ext>
      </extLst>
    </cacheHierarchy>
    <cacheHierarchy uniqueName="[Measures].[Sales per unit]" caption="Sales per unit" measure="1" displayFolder="" measureGroup="data" count="0"/>
    <cacheHierarchy uniqueName="[Measures].[Total Profit]" caption="Total Profit" measure="1" displayFolder="" measureGroup="data" count="0"/>
    <cacheHierarchy uniqueName="[Measures].[Profit%]" caption="Profit%" measure="1" displayFolder="" measureGroup="data" count="0"/>
    <cacheHierarchy uniqueName="[Measures].[__XL_Count data]" caption="__XL_Count data" measure="1" displayFolder="" measureGroup="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05067743"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s v="70% Dark Bites"/>
    <n v="1624"/>
    <n v="114"/>
    <n v="14.49"/>
    <n v="1651.8600000000001"/>
  </r>
  <r>
    <x v="1"/>
    <x v="1"/>
    <s v="Choco Coated Almonds"/>
    <n v="6706"/>
    <n v="459"/>
    <n v="8.65"/>
    <n v="3970.3500000000004"/>
  </r>
  <r>
    <x v="2"/>
    <x v="1"/>
    <s v="Almond Choco"/>
    <n v="959"/>
    <n v="147"/>
    <n v="11.88"/>
    <n v="1746.3600000000001"/>
  </r>
  <r>
    <x v="3"/>
    <x v="2"/>
    <s v="Drinking Coco"/>
    <n v="9632"/>
    <n v="288"/>
    <n v="6.47"/>
    <n v="1863.36"/>
  </r>
  <r>
    <x v="4"/>
    <x v="3"/>
    <s v="White Choc"/>
    <n v="2100"/>
    <n v="414"/>
    <n v="13.15"/>
    <n v="5444.1"/>
  </r>
  <r>
    <x v="0"/>
    <x v="1"/>
    <s v="Peanut Butter Cubes"/>
    <n v="8869"/>
    <n v="432"/>
    <n v="12.37"/>
    <n v="5343.8399999999992"/>
  </r>
  <r>
    <x v="4"/>
    <x v="4"/>
    <s v="Smooth Sliky Salty"/>
    <n v="2681"/>
    <n v="54"/>
    <n v="5.79"/>
    <n v="312.66000000000003"/>
  </r>
  <r>
    <x v="1"/>
    <x v="1"/>
    <s v="After Nines"/>
    <n v="5012"/>
    <n v="210"/>
    <n v="9.77"/>
    <n v="2051.6999999999998"/>
  </r>
  <r>
    <x v="5"/>
    <x v="4"/>
    <s v="50% Dark Bites"/>
    <n v="1281"/>
    <n v="75"/>
    <n v="11.7"/>
    <n v="877.5"/>
  </r>
  <r>
    <x v="6"/>
    <x v="0"/>
    <s v="50% Dark Bites"/>
    <n v="4991"/>
    <n v="12"/>
    <n v="11.7"/>
    <n v="140.39999999999998"/>
  </r>
  <r>
    <x v="7"/>
    <x v="3"/>
    <s v="White Choc"/>
    <n v="1785"/>
    <n v="462"/>
    <n v="13.15"/>
    <n v="6075.3"/>
  </r>
  <r>
    <x v="8"/>
    <x v="0"/>
    <s v="Eclairs"/>
    <n v="3983"/>
    <n v="144"/>
    <n v="3.11"/>
    <n v="447.84"/>
  </r>
  <r>
    <x v="2"/>
    <x v="4"/>
    <s v="Mint Chip Choco"/>
    <n v="2646"/>
    <n v="120"/>
    <n v="8.7899999999999991"/>
    <n v="1054.8"/>
  </r>
  <r>
    <x v="7"/>
    <x v="5"/>
    <s v="Milk Bars"/>
    <n v="252"/>
    <n v="54"/>
    <n v="9.33"/>
    <n v="503.82"/>
  </r>
  <r>
    <x v="8"/>
    <x v="1"/>
    <s v="White Choc"/>
    <n v="2464"/>
    <n v="234"/>
    <n v="13.15"/>
    <n v="3077.1"/>
  </r>
  <r>
    <x v="8"/>
    <x v="1"/>
    <s v="Manuka Honey Choco"/>
    <n v="2114"/>
    <n v="66"/>
    <n v="7.16"/>
    <n v="472.56"/>
  </r>
  <r>
    <x v="4"/>
    <x v="0"/>
    <s v="Smooth Sliky Salty"/>
    <n v="7693"/>
    <n v="87"/>
    <n v="5.79"/>
    <n v="503.73"/>
  </r>
  <r>
    <x v="6"/>
    <x v="5"/>
    <s v="Orange Choco"/>
    <n v="15610"/>
    <n v="339"/>
    <n v="10.62"/>
    <n v="3600.18"/>
  </r>
  <r>
    <x v="3"/>
    <x v="5"/>
    <s v="After Nines"/>
    <n v="336"/>
    <n v="144"/>
    <n v="9.77"/>
    <n v="1406.8799999999999"/>
  </r>
  <r>
    <x v="7"/>
    <x v="3"/>
    <s v="Orange Choco"/>
    <n v="9443"/>
    <n v="162"/>
    <n v="10.62"/>
    <n v="1720.4399999999998"/>
  </r>
  <r>
    <x v="2"/>
    <x v="5"/>
    <s v="Fruit &amp; Nut Bars"/>
    <n v="8155"/>
    <n v="90"/>
    <n v="6.49"/>
    <n v="584.1"/>
  </r>
  <r>
    <x v="1"/>
    <x v="4"/>
    <s v="Fruit &amp; Nut Bars"/>
    <n v="1701"/>
    <n v="234"/>
    <n v="6.49"/>
    <n v="1518.66"/>
  </r>
  <r>
    <x v="9"/>
    <x v="4"/>
    <s v="After Nines"/>
    <n v="2205"/>
    <n v="141"/>
    <n v="9.77"/>
    <n v="1377.57"/>
  </r>
  <r>
    <x v="1"/>
    <x v="0"/>
    <s v="99% Dark &amp; Pure"/>
    <n v="1771"/>
    <n v="204"/>
    <n v="7.64"/>
    <n v="1558.56"/>
  </r>
  <r>
    <x v="3"/>
    <x v="1"/>
    <s v="Raspberry Choco"/>
    <n v="2114"/>
    <n v="186"/>
    <n v="11.73"/>
    <n v="2181.7800000000002"/>
  </r>
  <r>
    <x v="3"/>
    <x v="2"/>
    <s v="Milk Bars"/>
    <n v="10311"/>
    <n v="231"/>
    <n v="9.33"/>
    <n v="2155.23"/>
  </r>
  <r>
    <x v="8"/>
    <x v="3"/>
    <s v="Mint Chip Choco"/>
    <n v="21"/>
    <n v="168"/>
    <n v="8.7899999999999991"/>
    <n v="1476.7199999999998"/>
  </r>
  <r>
    <x v="9"/>
    <x v="1"/>
    <s v="Orange Choco"/>
    <n v="1974"/>
    <n v="195"/>
    <n v="10.62"/>
    <n v="2070.8999999999996"/>
  </r>
  <r>
    <x v="6"/>
    <x v="2"/>
    <s v="Fruit &amp; Nut Bars"/>
    <n v="6314"/>
    <n v="15"/>
    <n v="6.49"/>
    <n v="97.350000000000009"/>
  </r>
  <r>
    <x v="9"/>
    <x v="0"/>
    <s v="Fruit &amp; Nut Bars"/>
    <n v="4683"/>
    <n v="30"/>
    <n v="6.49"/>
    <n v="194.70000000000002"/>
  </r>
  <r>
    <x v="3"/>
    <x v="0"/>
    <s v="85% Dark Bars"/>
    <n v="6398"/>
    <n v="102"/>
    <n v="4.97"/>
    <n v="506.94"/>
  </r>
  <r>
    <x v="7"/>
    <x v="1"/>
    <s v="99% Dark &amp; Pure"/>
    <n v="553"/>
    <n v="15"/>
    <n v="7.64"/>
    <n v="114.6"/>
  </r>
  <r>
    <x v="1"/>
    <x v="3"/>
    <s v="70% Dark Bites"/>
    <n v="7021"/>
    <n v="183"/>
    <n v="14.49"/>
    <n v="2651.67"/>
  </r>
  <r>
    <x v="0"/>
    <x v="3"/>
    <s v="After Nines"/>
    <n v="5817"/>
    <n v="12"/>
    <n v="9.77"/>
    <n v="117.24"/>
  </r>
  <r>
    <x v="3"/>
    <x v="3"/>
    <s v="50% Dark Bites"/>
    <n v="3976"/>
    <n v="72"/>
    <n v="11.7"/>
    <n v="842.4"/>
  </r>
  <r>
    <x v="4"/>
    <x v="4"/>
    <s v="Organic Choco Syrup"/>
    <n v="1134"/>
    <n v="282"/>
    <n v="16.73"/>
    <n v="4717.8599999999997"/>
  </r>
  <r>
    <x v="7"/>
    <x v="3"/>
    <s v="Caramel Stuffed Bars"/>
    <n v="6027"/>
    <n v="144"/>
    <n v="10.38"/>
    <n v="1494.72"/>
  </r>
  <r>
    <x v="4"/>
    <x v="0"/>
    <s v="Mint Chip Choco"/>
    <n v="1904"/>
    <n v="405"/>
    <n v="8.7899999999999991"/>
    <n v="3559.95"/>
  </r>
  <r>
    <x v="5"/>
    <x v="5"/>
    <s v="Choco Coated Almonds"/>
    <n v="3262"/>
    <n v="75"/>
    <n v="8.65"/>
    <n v="648.75"/>
  </r>
  <r>
    <x v="0"/>
    <x v="5"/>
    <s v="Organic Choco Syrup"/>
    <n v="2289"/>
    <n v="135"/>
    <n v="16.73"/>
    <n v="2258.5500000000002"/>
  </r>
  <r>
    <x v="6"/>
    <x v="5"/>
    <s v="Organic Choco Syrup"/>
    <n v="6986"/>
    <n v="21"/>
    <n v="16.73"/>
    <n v="351.33"/>
  </r>
  <r>
    <x v="7"/>
    <x v="4"/>
    <s v="Fruit &amp; Nut Bars"/>
    <n v="4417"/>
    <n v="153"/>
    <n v="6.49"/>
    <n v="992.97"/>
  </r>
  <r>
    <x v="4"/>
    <x v="5"/>
    <s v="Raspberry Choco"/>
    <n v="1442"/>
    <n v="15"/>
    <n v="11.73"/>
    <n v="175.95000000000002"/>
  </r>
  <r>
    <x v="8"/>
    <x v="1"/>
    <s v="50% Dark Bites"/>
    <n v="2415"/>
    <n v="255"/>
    <n v="11.7"/>
    <n v="2983.5"/>
  </r>
  <r>
    <x v="7"/>
    <x v="0"/>
    <s v="99% Dark &amp; Pure"/>
    <n v="238"/>
    <n v="18"/>
    <n v="7.64"/>
    <n v="137.51999999999998"/>
  </r>
  <r>
    <x v="4"/>
    <x v="0"/>
    <s v="Fruit &amp; Nut Bars"/>
    <n v="4949"/>
    <n v="189"/>
    <n v="6.49"/>
    <n v="1226.6100000000001"/>
  </r>
  <r>
    <x v="6"/>
    <x v="4"/>
    <s v="Choco Coated Almonds"/>
    <n v="5075"/>
    <n v="21"/>
    <n v="8.65"/>
    <n v="181.65"/>
  </r>
  <r>
    <x v="8"/>
    <x v="2"/>
    <s v="Mint Chip Choco"/>
    <n v="9198"/>
    <n v="36"/>
    <n v="8.7899999999999991"/>
    <n v="316.43999999999994"/>
  </r>
  <r>
    <x v="4"/>
    <x v="5"/>
    <s v="Manuka Honey Choco"/>
    <n v="3339"/>
    <n v="75"/>
    <n v="7.16"/>
    <n v="537"/>
  </r>
  <r>
    <x v="0"/>
    <x v="5"/>
    <s v="Eclairs"/>
    <n v="5019"/>
    <n v="156"/>
    <n v="3.11"/>
    <n v="485.15999999999997"/>
  </r>
  <r>
    <x v="6"/>
    <x v="2"/>
    <s v="Mint Chip Choco"/>
    <n v="16184"/>
    <n v="39"/>
    <n v="8.7899999999999991"/>
    <n v="342.80999999999995"/>
  </r>
  <r>
    <x v="4"/>
    <x v="2"/>
    <s v="Spicy Special Slims"/>
    <n v="497"/>
    <n v="63"/>
    <n v="9"/>
    <n v="567"/>
  </r>
  <r>
    <x v="7"/>
    <x v="2"/>
    <s v="Manuka Honey Choco"/>
    <n v="8211"/>
    <n v="75"/>
    <n v="7.16"/>
    <n v="537"/>
  </r>
  <r>
    <x v="7"/>
    <x v="4"/>
    <s v="Caramel Stuffed Bars"/>
    <n v="6580"/>
    <n v="183"/>
    <n v="10.38"/>
    <n v="1899.5400000000002"/>
  </r>
  <r>
    <x v="3"/>
    <x v="1"/>
    <s v="Milk Bars"/>
    <n v="4760"/>
    <n v="69"/>
    <n v="9.33"/>
    <n v="643.77"/>
  </r>
  <r>
    <x v="0"/>
    <x v="2"/>
    <s v="White Choc"/>
    <n v="5439"/>
    <n v="30"/>
    <n v="13.15"/>
    <n v="394.5"/>
  </r>
  <r>
    <x v="3"/>
    <x v="5"/>
    <s v="Eclairs"/>
    <n v="1463"/>
    <n v="39"/>
    <n v="3.11"/>
    <n v="121.28999999999999"/>
  </r>
  <r>
    <x v="8"/>
    <x v="5"/>
    <s v="Choco Coated Almonds"/>
    <n v="7777"/>
    <n v="504"/>
    <n v="8.65"/>
    <n v="4359.6000000000004"/>
  </r>
  <r>
    <x v="2"/>
    <x v="0"/>
    <s v="Manuka Honey Choco"/>
    <n v="1085"/>
    <n v="273"/>
    <n v="7.16"/>
    <n v="1954.68"/>
  </r>
  <r>
    <x v="6"/>
    <x v="0"/>
    <s v="Smooth Sliky Salty"/>
    <n v="182"/>
    <n v="48"/>
    <n v="5.79"/>
    <n v="277.92"/>
  </r>
  <r>
    <x v="4"/>
    <x v="5"/>
    <s v="Organic Choco Syrup"/>
    <n v="4242"/>
    <n v="207"/>
    <n v="16.73"/>
    <n v="3463.11"/>
  </r>
  <r>
    <x v="4"/>
    <x v="2"/>
    <s v="Choco Coated Almonds"/>
    <n v="6118"/>
    <n v="9"/>
    <n v="8.65"/>
    <n v="77.850000000000009"/>
  </r>
  <r>
    <x v="9"/>
    <x v="2"/>
    <s v="Fruit &amp; Nut Bars"/>
    <n v="2317"/>
    <n v="261"/>
    <n v="6.49"/>
    <n v="1693.89"/>
  </r>
  <r>
    <x v="4"/>
    <x v="4"/>
    <s v="Mint Chip Choco"/>
    <n v="938"/>
    <n v="6"/>
    <n v="8.7899999999999991"/>
    <n v="52.739999999999995"/>
  </r>
  <r>
    <x v="1"/>
    <x v="0"/>
    <s v="Raspberry Choco"/>
    <n v="9709"/>
    <n v="30"/>
    <n v="11.73"/>
    <n v="351.90000000000003"/>
  </r>
  <r>
    <x v="5"/>
    <x v="5"/>
    <s v="Orange Choco"/>
    <n v="2205"/>
    <n v="138"/>
    <n v="10.62"/>
    <n v="1465.56"/>
  </r>
  <r>
    <x v="5"/>
    <x v="0"/>
    <s v="Eclairs"/>
    <n v="4487"/>
    <n v="111"/>
    <n v="3.11"/>
    <n v="345.21"/>
  </r>
  <r>
    <x v="6"/>
    <x v="1"/>
    <s v="Drinking Coco"/>
    <n v="2415"/>
    <n v="15"/>
    <n v="6.47"/>
    <n v="97.05"/>
  </r>
  <r>
    <x v="0"/>
    <x v="5"/>
    <s v="99% Dark &amp; Pure"/>
    <n v="4018"/>
    <n v="162"/>
    <n v="7.64"/>
    <n v="1237.6799999999998"/>
  </r>
  <r>
    <x v="6"/>
    <x v="5"/>
    <s v="99% Dark &amp; Pure"/>
    <n v="861"/>
    <n v="195"/>
    <n v="7.64"/>
    <n v="1489.8"/>
  </r>
  <r>
    <x v="9"/>
    <x v="4"/>
    <s v="50% Dark Bites"/>
    <n v="5586"/>
    <n v="525"/>
    <n v="11.7"/>
    <n v="6142.5"/>
  </r>
  <r>
    <x v="5"/>
    <x v="5"/>
    <s v="Peanut Butter Cubes"/>
    <n v="2226"/>
    <n v="48"/>
    <n v="12.37"/>
    <n v="593.76"/>
  </r>
  <r>
    <x v="2"/>
    <x v="5"/>
    <s v="Caramel Stuffed Bars"/>
    <n v="14329"/>
    <n v="150"/>
    <n v="10.38"/>
    <n v="1557.0000000000002"/>
  </r>
  <r>
    <x v="2"/>
    <x v="5"/>
    <s v="Orange Choco"/>
    <n v="8463"/>
    <n v="492"/>
    <n v="10.62"/>
    <n v="5225.04"/>
  </r>
  <r>
    <x v="6"/>
    <x v="5"/>
    <s v="Manuka Honey Choco"/>
    <n v="2891"/>
    <n v="102"/>
    <n v="7.16"/>
    <n v="730.32"/>
  </r>
  <r>
    <x v="8"/>
    <x v="2"/>
    <s v="Fruit &amp; Nut Bars"/>
    <n v="3773"/>
    <n v="165"/>
    <n v="6.49"/>
    <n v="1070.8500000000001"/>
  </r>
  <r>
    <x v="3"/>
    <x v="2"/>
    <s v="Caramel Stuffed Bars"/>
    <n v="854"/>
    <n v="309"/>
    <n v="10.38"/>
    <n v="3207.42"/>
  </r>
  <r>
    <x v="4"/>
    <x v="2"/>
    <s v="Eclairs"/>
    <n v="4970"/>
    <n v="156"/>
    <n v="3.11"/>
    <n v="485.15999999999997"/>
  </r>
  <r>
    <x v="2"/>
    <x v="1"/>
    <s v="Baker's Choco Chips"/>
    <n v="98"/>
    <n v="159"/>
    <n v="5.6"/>
    <n v="890.4"/>
  </r>
  <r>
    <x v="6"/>
    <x v="1"/>
    <s v="Raspberry Choco"/>
    <n v="13391"/>
    <n v="201"/>
    <n v="11.73"/>
    <n v="2357.73"/>
  </r>
  <r>
    <x v="1"/>
    <x v="3"/>
    <s v="Smooth Sliky Salty"/>
    <n v="8890"/>
    <n v="210"/>
    <n v="5.79"/>
    <n v="1215.9000000000001"/>
  </r>
  <r>
    <x v="7"/>
    <x v="4"/>
    <s v="Milk Bars"/>
    <n v="56"/>
    <n v="51"/>
    <n v="9.33"/>
    <n v="475.83"/>
  </r>
  <r>
    <x v="8"/>
    <x v="2"/>
    <s v="White Choc"/>
    <n v="3339"/>
    <n v="39"/>
    <n v="13.15"/>
    <n v="512.85"/>
  </r>
  <r>
    <x v="9"/>
    <x v="1"/>
    <s v="Drinking Coco"/>
    <n v="3808"/>
    <n v="279"/>
    <n v="6.47"/>
    <n v="1805.1299999999999"/>
  </r>
  <r>
    <x v="9"/>
    <x v="4"/>
    <s v="Milk Bars"/>
    <n v="63"/>
    <n v="123"/>
    <n v="9.33"/>
    <n v="1147.5899999999999"/>
  </r>
  <r>
    <x v="7"/>
    <x v="3"/>
    <s v="Organic Choco Syrup"/>
    <n v="7812"/>
    <n v="81"/>
    <n v="16.73"/>
    <n v="1355.13"/>
  </r>
  <r>
    <x v="0"/>
    <x v="0"/>
    <s v="99% Dark &amp; Pure"/>
    <n v="7693"/>
    <n v="21"/>
    <n v="7.64"/>
    <n v="160.44"/>
  </r>
  <r>
    <x v="8"/>
    <x v="2"/>
    <s v="Caramel Stuffed Bars"/>
    <n v="973"/>
    <n v="162"/>
    <n v="10.38"/>
    <n v="1681.5600000000002"/>
  </r>
  <r>
    <x v="9"/>
    <x v="1"/>
    <s v="Spicy Special Slims"/>
    <n v="567"/>
    <n v="228"/>
    <n v="9"/>
    <n v="2052"/>
  </r>
  <r>
    <x v="9"/>
    <x v="2"/>
    <s v="Manuka Honey Choco"/>
    <n v="2471"/>
    <n v="342"/>
    <n v="7.16"/>
    <n v="2448.7200000000003"/>
  </r>
  <r>
    <x v="6"/>
    <x v="4"/>
    <s v="Milk Bars"/>
    <n v="7189"/>
    <n v="54"/>
    <n v="9.33"/>
    <n v="503.82"/>
  </r>
  <r>
    <x v="3"/>
    <x v="1"/>
    <s v="Caramel Stuffed Bars"/>
    <n v="7455"/>
    <n v="216"/>
    <n v="10.38"/>
    <n v="2242.0800000000004"/>
  </r>
  <r>
    <x v="8"/>
    <x v="5"/>
    <s v="Baker's Choco Chips"/>
    <n v="3108"/>
    <n v="54"/>
    <n v="5.6"/>
    <n v="302.39999999999998"/>
  </r>
  <r>
    <x v="4"/>
    <x v="4"/>
    <s v="White Choc"/>
    <n v="469"/>
    <n v="75"/>
    <n v="13.15"/>
    <n v="986.25"/>
  </r>
  <r>
    <x v="2"/>
    <x v="0"/>
    <s v="Fruit &amp; Nut Bars"/>
    <n v="2737"/>
    <n v="93"/>
    <n v="6.49"/>
    <n v="603.57000000000005"/>
  </r>
  <r>
    <x v="2"/>
    <x v="0"/>
    <s v="White Choc"/>
    <n v="4305"/>
    <n v="156"/>
    <n v="13.15"/>
    <n v="2051.4"/>
  </r>
  <r>
    <x v="2"/>
    <x v="4"/>
    <s v="Eclairs"/>
    <n v="2408"/>
    <n v="9"/>
    <n v="3.11"/>
    <n v="27.99"/>
  </r>
  <r>
    <x v="8"/>
    <x v="2"/>
    <s v="99% Dark &amp; Pure"/>
    <n v="1281"/>
    <n v="18"/>
    <n v="7.64"/>
    <n v="137.51999999999998"/>
  </r>
  <r>
    <x v="0"/>
    <x v="1"/>
    <s v="Choco Coated Almonds"/>
    <n v="12348"/>
    <n v="234"/>
    <n v="8.65"/>
    <n v="2024.1000000000001"/>
  </r>
  <r>
    <x v="8"/>
    <x v="5"/>
    <s v="Caramel Stuffed Bars"/>
    <n v="3689"/>
    <n v="312"/>
    <n v="10.38"/>
    <n v="3238.5600000000004"/>
  </r>
  <r>
    <x v="5"/>
    <x v="2"/>
    <s v="99% Dark &amp; Pure"/>
    <n v="2870"/>
    <n v="300"/>
    <n v="7.64"/>
    <n v="2292"/>
  </r>
  <r>
    <x v="7"/>
    <x v="2"/>
    <s v="Organic Choco Syrup"/>
    <n v="798"/>
    <n v="519"/>
    <n v="16.73"/>
    <n v="8682.8700000000008"/>
  </r>
  <r>
    <x v="3"/>
    <x v="0"/>
    <s v="Spicy Special Slims"/>
    <n v="2933"/>
    <n v="9"/>
    <n v="9"/>
    <n v="81"/>
  </r>
  <r>
    <x v="6"/>
    <x v="1"/>
    <s v="Almond Choco"/>
    <n v="2744"/>
    <n v="9"/>
    <n v="11.88"/>
    <n v="106.92"/>
  </r>
  <r>
    <x v="0"/>
    <x v="2"/>
    <s v="Peanut Butter Cubes"/>
    <n v="9772"/>
    <n v="90"/>
    <n v="12.37"/>
    <n v="1113.3"/>
  </r>
  <r>
    <x v="5"/>
    <x v="5"/>
    <s v="White Choc"/>
    <n v="1568"/>
    <n v="96"/>
    <n v="13.15"/>
    <n v="1262.4000000000001"/>
  </r>
  <r>
    <x v="7"/>
    <x v="2"/>
    <s v="Mint Chip Choco"/>
    <n v="11417"/>
    <n v="21"/>
    <n v="8.7899999999999991"/>
    <n v="184.58999999999997"/>
  </r>
  <r>
    <x v="0"/>
    <x v="5"/>
    <s v="Baker's Choco Chips"/>
    <n v="6748"/>
    <n v="48"/>
    <n v="5.6"/>
    <n v="268.79999999999995"/>
  </r>
  <r>
    <x v="9"/>
    <x v="2"/>
    <s v="Organic Choco Syrup"/>
    <n v="1407"/>
    <n v="72"/>
    <n v="16.73"/>
    <n v="1204.56"/>
  </r>
  <r>
    <x v="1"/>
    <x v="1"/>
    <s v="Manuka Honey Choco"/>
    <n v="2023"/>
    <n v="168"/>
    <n v="7.16"/>
    <n v="1202.8800000000001"/>
  </r>
  <r>
    <x v="6"/>
    <x v="3"/>
    <s v="Baker's Choco Chips"/>
    <n v="5236"/>
    <n v="51"/>
    <n v="5.6"/>
    <n v="285.59999999999997"/>
  </r>
  <r>
    <x v="3"/>
    <x v="2"/>
    <s v="99% Dark &amp; Pure"/>
    <n v="1925"/>
    <n v="192"/>
    <n v="7.64"/>
    <n v="1466.8799999999999"/>
  </r>
  <r>
    <x v="5"/>
    <x v="0"/>
    <s v="50% Dark Bites"/>
    <n v="6608"/>
    <n v="225"/>
    <n v="11.7"/>
    <n v="2632.5"/>
  </r>
  <r>
    <x v="4"/>
    <x v="5"/>
    <s v="Baker's Choco Chips"/>
    <n v="8008"/>
    <n v="456"/>
    <n v="5.6"/>
    <n v="2553.6"/>
  </r>
  <r>
    <x v="9"/>
    <x v="5"/>
    <s v="White Choc"/>
    <n v="1428"/>
    <n v="93"/>
    <n v="13.15"/>
    <n v="1222.95"/>
  </r>
  <r>
    <x v="4"/>
    <x v="5"/>
    <s v="Almond Choco"/>
    <n v="525"/>
    <n v="48"/>
    <n v="11.88"/>
    <n v="570.24"/>
  </r>
  <r>
    <x v="4"/>
    <x v="0"/>
    <s v="Drinking Coco"/>
    <n v="1505"/>
    <n v="102"/>
    <n v="6.47"/>
    <n v="659.93999999999994"/>
  </r>
  <r>
    <x v="5"/>
    <x v="1"/>
    <s v="70% Dark Bites"/>
    <n v="6755"/>
    <n v="252"/>
    <n v="14.49"/>
    <n v="3651.48"/>
  </r>
  <r>
    <x v="7"/>
    <x v="0"/>
    <s v="Drinking Coco"/>
    <n v="11571"/>
    <n v="138"/>
    <n v="6.47"/>
    <n v="892.86"/>
  </r>
  <r>
    <x v="0"/>
    <x v="4"/>
    <s v="White Choc"/>
    <n v="2541"/>
    <n v="90"/>
    <n v="13.15"/>
    <n v="1183.5"/>
  </r>
  <r>
    <x v="3"/>
    <x v="0"/>
    <s v="70% Dark Bites"/>
    <n v="1526"/>
    <n v="240"/>
    <n v="14.49"/>
    <n v="3477.6"/>
  </r>
  <r>
    <x v="0"/>
    <x v="4"/>
    <s v="Almond Choco"/>
    <n v="6125"/>
    <n v="102"/>
    <n v="11.88"/>
    <n v="1211.76"/>
  </r>
  <r>
    <x v="3"/>
    <x v="1"/>
    <s v="Organic Choco Syrup"/>
    <n v="847"/>
    <n v="129"/>
    <n v="16.73"/>
    <n v="2158.17"/>
  </r>
  <r>
    <x v="1"/>
    <x v="1"/>
    <s v="Organic Choco Syrup"/>
    <n v="4753"/>
    <n v="300"/>
    <n v="16.73"/>
    <n v="5019"/>
  </r>
  <r>
    <x v="4"/>
    <x v="4"/>
    <s v="Peanut Butter Cubes"/>
    <n v="959"/>
    <n v="135"/>
    <n v="12.37"/>
    <n v="1669.9499999999998"/>
  </r>
  <r>
    <x v="5"/>
    <x v="1"/>
    <s v="85% Dark Bars"/>
    <n v="2793"/>
    <n v="114"/>
    <n v="4.97"/>
    <n v="566.57999999999993"/>
  </r>
  <r>
    <x v="5"/>
    <x v="1"/>
    <s v="50% Dark Bites"/>
    <n v="4606"/>
    <n v="63"/>
    <n v="11.7"/>
    <n v="737.09999999999991"/>
  </r>
  <r>
    <x v="5"/>
    <x v="2"/>
    <s v="Manuka Honey Choco"/>
    <n v="5551"/>
    <n v="252"/>
    <n v="7.16"/>
    <n v="1804.32"/>
  </r>
  <r>
    <x v="9"/>
    <x v="2"/>
    <s v="Choco Coated Almonds"/>
    <n v="6657"/>
    <n v="303"/>
    <n v="8.65"/>
    <n v="2620.9500000000003"/>
  </r>
  <r>
    <x v="5"/>
    <x v="3"/>
    <s v="Eclairs"/>
    <n v="4438"/>
    <n v="246"/>
    <n v="3.11"/>
    <n v="765.06"/>
  </r>
  <r>
    <x v="1"/>
    <x v="4"/>
    <s v="After Nines"/>
    <n v="168"/>
    <n v="84"/>
    <n v="9.77"/>
    <n v="820.68"/>
  </r>
  <r>
    <x v="5"/>
    <x v="5"/>
    <s v="Eclairs"/>
    <n v="7777"/>
    <n v="39"/>
    <n v="3.11"/>
    <n v="121.28999999999999"/>
  </r>
  <r>
    <x v="6"/>
    <x v="2"/>
    <s v="Eclairs"/>
    <n v="3339"/>
    <n v="348"/>
    <n v="3.11"/>
    <n v="1082.28"/>
  </r>
  <r>
    <x v="5"/>
    <x v="0"/>
    <s v="Peanut Butter Cubes"/>
    <n v="6391"/>
    <n v="48"/>
    <n v="12.37"/>
    <n v="593.76"/>
  </r>
  <r>
    <x v="6"/>
    <x v="0"/>
    <s v="After Nines"/>
    <n v="518"/>
    <n v="75"/>
    <n v="9.77"/>
    <n v="732.75"/>
  </r>
  <r>
    <x v="5"/>
    <x v="4"/>
    <s v="Caramel Stuffed Bars"/>
    <n v="5677"/>
    <n v="258"/>
    <n v="10.38"/>
    <n v="2678.0400000000004"/>
  </r>
  <r>
    <x v="4"/>
    <x v="3"/>
    <s v="Eclairs"/>
    <n v="6048"/>
    <n v="27"/>
    <n v="3.11"/>
    <n v="83.97"/>
  </r>
  <r>
    <x v="1"/>
    <x v="4"/>
    <s v="Choco Coated Almonds"/>
    <n v="3752"/>
    <n v="213"/>
    <n v="8.65"/>
    <n v="1842.45"/>
  </r>
  <r>
    <x v="6"/>
    <x v="1"/>
    <s v="Manuka Honey Choco"/>
    <n v="4480"/>
    <n v="357"/>
    <n v="7.16"/>
    <n v="2556.12"/>
  </r>
  <r>
    <x v="2"/>
    <x v="0"/>
    <s v="Almond Choco"/>
    <n v="259"/>
    <n v="207"/>
    <n v="11.88"/>
    <n v="2459.1600000000003"/>
  </r>
  <r>
    <x v="1"/>
    <x v="0"/>
    <s v="70% Dark Bites"/>
    <n v="42"/>
    <n v="150"/>
    <n v="14.49"/>
    <n v="2173.5"/>
  </r>
  <r>
    <x v="3"/>
    <x v="2"/>
    <s v="Baker's Choco Chips"/>
    <n v="98"/>
    <n v="204"/>
    <n v="5.6"/>
    <n v="1142.3999999999999"/>
  </r>
  <r>
    <x v="5"/>
    <x v="1"/>
    <s v="Organic Choco Syrup"/>
    <n v="2478"/>
    <n v="21"/>
    <n v="16.73"/>
    <n v="351.33"/>
  </r>
  <r>
    <x v="3"/>
    <x v="5"/>
    <s v="Peanut Butter Cubes"/>
    <n v="7847"/>
    <n v="174"/>
    <n v="12.37"/>
    <n v="2152.3799999999997"/>
  </r>
  <r>
    <x v="7"/>
    <x v="0"/>
    <s v="Eclairs"/>
    <n v="9926"/>
    <n v="201"/>
    <n v="3.11"/>
    <n v="625.11"/>
  </r>
  <r>
    <x v="1"/>
    <x v="4"/>
    <s v="Milk Bars"/>
    <n v="819"/>
    <n v="510"/>
    <n v="9.33"/>
    <n v="4758.3"/>
  </r>
  <r>
    <x v="4"/>
    <x v="3"/>
    <s v="Manuka Honey Choco"/>
    <n v="3052"/>
    <n v="378"/>
    <n v="7.16"/>
    <n v="2706.48"/>
  </r>
  <r>
    <x v="2"/>
    <x v="5"/>
    <s v="Spicy Special Slims"/>
    <n v="6832"/>
    <n v="27"/>
    <n v="9"/>
    <n v="243"/>
  </r>
  <r>
    <x v="7"/>
    <x v="3"/>
    <s v="Mint Chip Choco"/>
    <n v="2016"/>
    <n v="117"/>
    <n v="8.7899999999999991"/>
    <n v="1028.4299999999998"/>
  </r>
  <r>
    <x v="4"/>
    <x v="4"/>
    <s v="Spicy Special Slims"/>
    <n v="7322"/>
    <n v="36"/>
    <n v="9"/>
    <n v="324"/>
  </r>
  <r>
    <x v="1"/>
    <x v="1"/>
    <s v="Peanut Butter Cubes"/>
    <n v="357"/>
    <n v="126"/>
    <n v="12.37"/>
    <n v="1558.62"/>
  </r>
  <r>
    <x v="2"/>
    <x v="3"/>
    <s v="White Choc"/>
    <n v="3192"/>
    <n v="72"/>
    <n v="13.15"/>
    <n v="946.80000000000007"/>
  </r>
  <r>
    <x v="5"/>
    <x v="2"/>
    <s v="After Nines"/>
    <n v="8435"/>
    <n v="42"/>
    <n v="9.77"/>
    <n v="410.34"/>
  </r>
  <r>
    <x v="0"/>
    <x v="3"/>
    <s v="Manuka Honey Choco"/>
    <n v="0"/>
    <n v="135"/>
    <n v="7.16"/>
    <n v="966.6"/>
  </r>
  <r>
    <x v="5"/>
    <x v="5"/>
    <s v="85% Dark Bars"/>
    <n v="8862"/>
    <n v="189"/>
    <n v="4.97"/>
    <n v="939.32999999999993"/>
  </r>
  <r>
    <x v="4"/>
    <x v="0"/>
    <s v="Caramel Stuffed Bars"/>
    <n v="3556"/>
    <n v="459"/>
    <n v="10.38"/>
    <n v="4764.42"/>
  </r>
  <r>
    <x v="6"/>
    <x v="5"/>
    <s v="Raspberry Choco"/>
    <n v="7280"/>
    <n v="201"/>
    <n v="11.73"/>
    <n v="2357.73"/>
  </r>
  <r>
    <x v="4"/>
    <x v="5"/>
    <s v="70% Dark Bites"/>
    <n v="3402"/>
    <n v="366"/>
    <n v="14.49"/>
    <n v="5303.34"/>
  </r>
  <r>
    <x v="8"/>
    <x v="0"/>
    <s v="Manuka Honey Choco"/>
    <n v="4592"/>
    <n v="324"/>
    <n v="7.16"/>
    <n v="2319.84"/>
  </r>
  <r>
    <x v="2"/>
    <x v="1"/>
    <s v="Raspberry Choco"/>
    <n v="7833"/>
    <n v="243"/>
    <n v="11.73"/>
    <n v="2850.3900000000003"/>
  </r>
  <r>
    <x v="7"/>
    <x v="3"/>
    <s v="Spicy Special Slims"/>
    <n v="7651"/>
    <n v="213"/>
    <n v="9"/>
    <n v="1917"/>
  </r>
  <r>
    <x v="0"/>
    <x v="1"/>
    <s v="70% Dark Bites"/>
    <n v="2275"/>
    <n v="447"/>
    <n v="14.49"/>
    <n v="6477.03"/>
  </r>
  <r>
    <x v="0"/>
    <x v="4"/>
    <s v="Milk Bars"/>
    <n v="5670"/>
    <n v="297"/>
    <n v="9.33"/>
    <n v="2771.01"/>
  </r>
  <r>
    <x v="5"/>
    <x v="1"/>
    <s v="Mint Chip Choco"/>
    <n v="2135"/>
    <n v="27"/>
    <n v="8.7899999999999991"/>
    <n v="237.32999999999998"/>
  </r>
  <r>
    <x v="0"/>
    <x v="5"/>
    <s v="Fruit &amp; Nut Bars"/>
    <n v="2779"/>
    <n v="75"/>
    <n v="6.49"/>
    <n v="486.75"/>
  </r>
  <r>
    <x v="9"/>
    <x v="3"/>
    <s v="Peanut Butter Cubes"/>
    <n v="12950"/>
    <n v="30"/>
    <n v="12.37"/>
    <n v="371.09999999999997"/>
  </r>
  <r>
    <x v="5"/>
    <x v="2"/>
    <s v="Drinking Coco"/>
    <n v="2646"/>
    <n v="177"/>
    <n v="6.47"/>
    <n v="1145.19"/>
  </r>
  <r>
    <x v="0"/>
    <x v="5"/>
    <s v="Peanut Butter Cubes"/>
    <n v="3794"/>
    <n v="159"/>
    <n v="12.37"/>
    <n v="1966.83"/>
  </r>
  <r>
    <x v="8"/>
    <x v="1"/>
    <s v="Peanut Butter Cubes"/>
    <n v="819"/>
    <n v="306"/>
    <n v="12.37"/>
    <n v="3785.22"/>
  </r>
  <r>
    <x v="8"/>
    <x v="5"/>
    <s v="Orange Choco"/>
    <n v="2583"/>
    <n v="18"/>
    <n v="10.62"/>
    <n v="191.16"/>
  </r>
  <r>
    <x v="5"/>
    <x v="1"/>
    <s v="99% Dark &amp; Pure"/>
    <n v="4585"/>
    <n v="240"/>
    <n v="7.64"/>
    <n v="1833.6"/>
  </r>
  <r>
    <x v="6"/>
    <x v="5"/>
    <s v="Peanut Butter Cubes"/>
    <n v="1652"/>
    <n v="93"/>
    <n v="12.37"/>
    <n v="1150.4099999999999"/>
  </r>
  <r>
    <x v="9"/>
    <x v="5"/>
    <s v="Baker's Choco Chips"/>
    <n v="4991"/>
    <n v="9"/>
    <n v="5.6"/>
    <n v="50.4"/>
  </r>
  <r>
    <x v="1"/>
    <x v="5"/>
    <s v="Mint Chip Choco"/>
    <n v="2009"/>
    <n v="219"/>
    <n v="8.7899999999999991"/>
    <n v="1925.0099999999998"/>
  </r>
  <r>
    <x v="7"/>
    <x v="3"/>
    <s v="After Nines"/>
    <n v="1568"/>
    <n v="141"/>
    <n v="9.77"/>
    <n v="1377.57"/>
  </r>
  <r>
    <x v="3"/>
    <x v="0"/>
    <s v="Orange Choco"/>
    <n v="3388"/>
    <n v="123"/>
    <n v="10.62"/>
    <n v="1306.26"/>
  </r>
  <r>
    <x v="0"/>
    <x v="4"/>
    <s v="85% Dark Bars"/>
    <n v="623"/>
    <n v="51"/>
    <n v="4.97"/>
    <n v="253.47"/>
  </r>
  <r>
    <x v="4"/>
    <x v="2"/>
    <s v="Almond Choco"/>
    <n v="10073"/>
    <n v="120"/>
    <n v="11.88"/>
    <n v="1425.6000000000001"/>
  </r>
  <r>
    <x v="1"/>
    <x v="3"/>
    <s v="Baker's Choco Chips"/>
    <n v="1561"/>
    <n v="27"/>
    <n v="5.6"/>
    <n v="151.19999999999999"/>
  </r>
  <r>
    <x v="2"/>
    <x v="2"/>
    <s v="Organic Choco Syrup"/>
    <n v="11522"/>
    <n v="204"/>
    <n v="16.73"/>
    <n v="3412.92"/>
  </r>
  <r>
    <x v="4"/>
    <x v="4"/>
    <s v="Milk Bars"/>
    <n v="2317"/>
    <n v="123"/>
    <n v="9.33"/>
    <n v="1147.5899999999999"/>
  </r>
  <r>
    <x v="9"/>
    <x v="0"/>
    <s v="Caramel Stuffed Bars"/>
    <n v="3059"/>
    <n v="27"/>
    <n v="10.38"/>
    <n v="280.26000000000005"/>
  </r>
  <r>
    <x v="3"/>
    <x v="0"/>
    <s v="Baker's Choco Chips"/>
    <n v="2324"/>
    <n v="177"/>
    <n v="5.6"/>
    <n v="991.19999999999993"/>
  </r>
  <r>
    <x v="8"/>
    <x v="3"/>
    <s v="Baker's Choco Chips"/>
    <n v="4956"/>
    <n v="171"/>
    <n v="5.6"/>
    <n v="957.59999999999991"/>
  </r>
  <r>
    <x v="9"/>
    <x v="5"/>
    <s v="99% Dark &amp; Pure"/>
    <n v="5355"/>
    <n v="204"/>
    <n v="7.64"/>
    <n v="1558.56"/>
  </r>
  <r>
    <x v="8"/>
    <x v="5"/>
    <s v="50% Dark Bites"/>
    <n v="7259"/>
    <n v="276"/>
    <n v="11.7"/>
    <n v="3229.2"/>
  </r>
  <r>
    <x v="1"/>
    <x v="0"/>
    <s v="Baker's Choco Chips"/>
    <n v="6279"/>
    <n v="45"/>
    <n v="5.6"/>
    <n v="251.99999999999997"/>
  </r>
  <r>
    <x v="0"/>
    <x v="4"/>
    <s v="Manuka Honey Choco"/>
    <n v="2541"/>
    <n v="45"/>
    <n v="7.16"/>
    <n v="322.2"/>
  </r>
  <r>
    <x v="4"/>
    <x v="1"/>
    <s v="Organic Choco Syrup"/>
    <n v="3864"/>
    <n v="177"/>
    <n v="16.73"/>
    <n v="2961.21"/>
  </r>
  <r>
    <x v="6"/>
    <x v="2"/>
    <s v="Milk Bars"/>
    <n v="6146"/>
    <n v="63"/>
    <n v="9.33"/>
    <n v="587.79"/>
  </r>
  <r>
    <x v="2"/>
    <x v="3"/>
    <s v="Drinking Coco"/>
    <n v="2639"/>
    <n v="204"/>
    <n v="6.47"/>
    <n v="1319.8799999999999"/>
  </r>
  <r>
    <x v="1"/>
    <x v="0"/>
    <s v="After Nines"/>
    <n v="1890"/>
    <n v="195"/>
    <n v="9.77"/>
    <n v="1905.1499999999999"/>
  </r>
  <r>
    <x v="5"/>
    <x v="5"/>
    <s v="50% Dark Bites"/>
    <n v="1932"/>
    <n v="369"/>
    <n v="11.7"/>
    <n v="4317.3"/>
  </r>
  <r>
    <x v="8"/>
    <x v="5"/>
    <s v="White Choc"/>
    <n v="6300"/>
    <n v="42"/>
    <n v="13.15"/>
    <n v="552.30000000000007"/>
  </r>
  <r>
    <x v="4"/>
    <x v="0"/>
    <s v="70% Dark Bites"/>
    <n v="560"/>
    <n v="81"/>
    <n v="14.49"/>
    <n v="1173.69"/>
  </r>
  <r>
    <x v="2"/>
    <x v="0"/>
    <s v="Baker's Choco Chips"/>
    <n v="2856"/>
    <n v="246"/>
    <n v="5.6"/>
    <n v="1377.6"/>
  </r>
  <r>
    <x v="2"/>
    <x v="5"/>
    <s v="Eclairs"/>
    <n v="707"/>
    <n v="174"/>
    <n v="3.11"/>
    <n v="541.14"/>
  </r>
  <r>
    <x v="1"/>
    <x v="1"/>
    <s v="70% Dark Bites"/>
    <n v="3598"/>
    <n v="81"/>
    <n v="14.49"/>
    <n v="1173.69"/>
  </r>
  <r>
    <x v="0"/>
    <x v="1"/>
    <s v="After Nines"/>
    <n v="6853"/>
    <n v="372"/>
    <n v="9.77"/>
    <n v="3634.44"/>
  </r>
  <r>
    <x v="0"/>
    <x v="1"/>
    <s v="Mint Chip Choco"/>
    <n v="4725"/>
    <n v="174"/>
    <n v="8.7899999999999991"/>
    <n v="1529.4599999999998"/>
  </r>
  <r>
    <x v="3"/>
    <x v="2"/>
    <s v="Choco Coated Almonds"/>
    <n v="10304"/>
    <n v="84"/>
    <n v="8.65"/>
    <n v="726.6"/>
  </r>
  <r>
    <x v="3"/>
    <x v="5"/>
    <s v="Mint Chip Choco"/>
    <n v="1274"/>
    <n v="225"/>
    <n v="8.7899999999999991"/>
    <n v="1977.7499999999998"/>
  </r>
  <r>
    <x v="6"/>
    <x v="2"/>
    <s v="70% Dark Bites"/>
    <n v="1526"/>
    <n v="105"/>
    <n v="14.49"/>
    <n v="1521.45"/>
  </r>
  <r>
    <x v="0"/>
    <x v="3"/>
    <s v="Caramel Stuffed Bars"/>
    <n v="3101"/>
    <n v="225"/>
    <n v="10.38"/>
    <n v="2335.5"/>
  </r>
  <r>
    <x v="7"/>
    <x v="0"/>
    <s v="50% Dark Bites"/>
    <n v="1057"/>
    <n v="54"/>
    <n v="11.7"/>
    <n v="631.79999999999995"/>
  </r>
  <r>
    <x v="5"/>
    <x v="0"/>
    <s v="Baker's Choco Chips"/>
    <n v="5306"/>
    <n v="0"/>
    <n v="5.6"/>
    <n v="0"/>
  </r>
  <r>
    <x v="6"/>
    <x v="3"/>
    <s v="85% Dark Bars"/>
    <n v="4018"/>
    <n v="171"/>
    <n v="4.97"/>
    <n v="849.87"/>
  </r>
  <r>
    <x v="2"/>
    <x v="5"/>
    <s v="Mint Chip Choco"/>
    <n v="938"/>
    <n v="189"/>
    <n v="8.7899999999999991"/>
    <n v="1661.31"/>
  </r>
  <r>
    <x v="5"/>
    <x v="4"/>
    <s v="Drinking Coco"/>
    <n v="1778"/>
    <n v="270"/>
    <n v="6.47"/>
    <n v="1746.8999999999999"/>
  </r>
  <r>
    <x v="4"/>
    <x v="3"/>
    <s v="70% Dark Bites"/>
    <n v="1638"/>
    <n v="63"/>
    <n v="14.49"/>
    <n v="912.87"/>
  </r>
  <r>
    <x v="3"/>
    <x v="4"/>
    <s v="White Choc"/>
    <n v="154"/>
    <n v="21"/>
    <n v="13.15"/>
    <n v="276.15000000000003"/>
  </r>
  <r>
    <x v="5"/>
    <x v="0"/>
    <s v="After Nines"/>
    <n v="9835"/>
    <n v="207"/>
    <n v="9.77"/>
    <n v="2022.3899999999999"/>
  </r>
  <r>
    <x v="2"/>
    <x v="0"/>
    <s v="Orange Choco"/>
    <n v="7273"/>
    <n v="96"/>
    <n v="10.62"/>
    <n v="1019.52"/>
  </r>
  <r>
    <x v="6"/>
    <x v="3"/>
    <s v="After Nines"/>
    <n v="6909"/>
    <n v="81"/>
    <n v="9.77"/>
    <n v="791.37"/>
  </r>
  <r>
    <x v="2"/>
    <x v="3"/>
    <s v="85% Dark Bars"/>
    <n v="3920"/>
    <n v="306"/>
    <n v="4.97"/>
    <n v="1520.82"/>
  </r>
  <r>
    <x v="9"/>
    <x v="3"/>
    <s v="Spicy Special Slims"/>
    <n v="4858"/>
    <n v="279"/>
    <n v="9"/>
    <n v="2511"/>
  </r>
  <r>
    <x v="7"/>
    <x v="4"/>
    <s v="Almond Choco"/>
    <n v="3549"/>
    <n v="3"/>
    <n v="11.88"/>
    <n v="35.64"/>
  </r>
  <r>
    <x v="5"/>
    <x v="3"/>
    <s v="Organic Choco Syrup"/>
    <n v="966"/>
    <n v="198"/>
    <n v="16.73"/>
    <n v="3312.54"/>
  </r>
  <r>
    <x v="6"/>
    <x v="3"/>
    <s v="Drinking Coco"/>
    <n v="385"/>
    <n v="249"/>
    <n v="6.47"/>
    <n v="1611.03"/>
  </r>
  <r>
    <x v="4"/>
    <x v="5"/>
    <s v="Mint Chip Choco"/>
    <n v="2219"/>
    <n v="75"/>
    <n v="8.7899999999999991"/>
    <n v="659.24999999999989"/>
  </r>
  <r>
    <x v="2"/>
    <x v="2"/>
    <s v="Choco Coated Almonds"/>
    <n v="2954"/>
    <n v="189"/>
    <n v="8.65"/>
    <n v="1634.8500000000001"/>
  </r>
  <r>
    <x v="5"/>
    <x v="2"/>
    <s v="Choco Coated Almonds"/>
    <n v="280"/>
    <n v="87"/>
    <n v="8.65"/>
    <n v="752.55000000000007"/>
  </r>
  <r>
    <x v="3"/>
    <x v="2"/>
    <s v="70% Dark Bites"/>
    <n v="6118"/>
    <n v="174"/>
    <n v="14.49"/>
    <n v="2521.2600000000002"/>
  </r>
  <r>
    <x v="7"/>
    <x v="3"/>
    <s v="Raspberry Choco"/>
    <n v="4802"/>
    <n v="36"/>
    <n v="11.73"/>
    <n v="422.28000000000003"/>
  </r>
  <r>
    <x v="2"/>
    <x v="4"/>
    <s v="85% Dark Bars"/>
    <n v="4137"/>
    <n v="60"/>
    <n v="4.97"/>
    <n v="298.2"/>
  </r>
  <r>
    <x v="8"/>
    <x v="1"/>
    <s v="Fruit &amp; Nut Bars"/>
    <n v="2023"/>
    <n v="78"/>
    <n v="6.49"/>
    <n v="506.22"/>
  </r>
  <r>
    <x v="2"/>
    <x v="2"/>
    <s v="70% Dark Bites"/>
    <n v="9051"/>
    <n v="57"/>
    <n v="14.49"/>
    <n v="825.93000000000006"/>
  </r>
  <r>
    <x v="2"/>
    <x v="0"/>
    <s v="Caramel Stuffed Bars"/>
    <n v="2919"/>
    <n v="45"/>
    <n v="10.38"/>
    <n v="467.1"/>
  </r>
  <r>
    <x v="3"/>
    <x v="4"/>
    <s v="After Nines"/>
    <n v="5915"/>
    <n v="3"/>
    <n v="9.77"/>
    <n v="29.31"/>
  </r>
  <r>
    <x v="9"/>
    <x v="1"/>
    <s v="Raspberry Choco"/>
    <n v="2562"/>
    <n v="6"/>
    <n v="11.73"/>
    <n v="70.38"/>
  </r>
  <r>
    <x v="6"/>
    <x v="0"/>
    <s v="White Choc"/>
    <n v="8813"/>
    <n v="21"/>
    <n v="13.15"/>
    <n v="276.15000000000003"/>
  </r>
  <r>
    <x v="6"/>
    <x v="2"/>
    <s v="Drinking Coco"/>
    <n v="6111"/>
    <n v="3"/>
    <n v="6.47"/>
    <n v="19.41"/>
  </r>
  <r>
    <x v="1"/>
    <x v="5"/>
    <s v="Smooth Sliky Salty"/>
    <n v="3507"/>
    <n v="288"/>
    <n v="5.79"/>
    <n v="1667.52"/>
  </r>
  <r>
    <x v="4"/>
    <x v="2"/>
    <s v="Milk Bars"/>
    <n v="4319"/>
    <n v="30"/>
    <n v="9.33"/>
    <n v="279.89999999999998"/>
  </r>
  <r>
    <x v="0"/>
    <x v="4"/>
    <s v="Baker's Choco Chips"/>
    <n v="609"/>
    <n v="87"/>
    <n v="5.6"/>
    <n v="487.2"/>
  </r>
  <r>
    <x v="0"/>
    <x v="3"/>
    <s v="Organic Choco Syrup"/>
    <n v="6370"/>
    <n v="30"/>
    <n v="16.73"/>
    <n v="501.90000000000003"/>
  </r>
  <r>
    <x v="6"/>
    <x v="4"/>
    <s v="99% Dark &amp; Pure"/>
    <n v="5474"/>
    <n v="168"/>
    <n v="7.64"/>
    <n v="1283.52"/>
  </r>
  <r>
    <x v="0"/>
    <x v="2"/>
    <s v="Organic Choco Syrup"/>
    <n v="3164"/>
    <n v="306"/>
    <n v="16.73"/>
    <n v="5119.38"/>
  </r>
  <r>
    <x v="4"/>
    <x v="1"/>
    <s v="Almond Choco"/>
    <n v="1302"/>
    <n v="402"/>
    <n v="11.88"/>
    <n v="4775.76"/>
  </r>
  <r>
    <x v="8"/>
    <x v="0"/>
    <s v="Caramel Stuffed Bars"/>
    <n v="7308"/>
    <n v="327"/>
    <n v="10.38"/>
    <n v="3394.26"/>
  </r>
  <r>
    <x v="0"/>
    <x v="0"/>
    <s v="Organic Choco Syrup"/>
    <n v="6132"/>
    <n v="93"/>
    <n v="16.73"/>
    <n v="1555.89"/>
  </r>
  <r>
    <x v="9"/>
    <x v="1"/>
    <s v="50% Dark Bites"/>
    <n v="3472"/>
    <n v="96"/>
    <n v="11.7"/>
    <n v="1123.1999999999998"/>
  </r>
  <r>
    <x v="1"/>
    <x v="3"/>
    <s v="Drinking Coco"/>
    <n v="9660"/>
    <n v="27"/>
    <n v="6.47"/>
    <n v="174.69"/>
  </r>
  <r>
    <x v="2"/>
    <x v="4"/>
    <s v="Baker's Choco Chips"/>
    <n v="2436"/>
    <n v="99"/>
    <n v="5.6"/>
    <n v="554.4"/>
  </r>
  <r>
    <x v="2"/>
    <x v="4"/>
    <s v="Peanut Butter Cubes"/>
    <n v="9506"/>
    <n v="87"/>
    <n v="12.37"/>
    <n v="1076.1899999999998"/>
  </r>
  <r>
    <x v="9"/>
    <x v="0"/>
    <s v="Spicy Special Slims"/>
    <n v="245"/>
    <n v="288"/>
    <n v="9"/>
    <n v="2592"/>
  </r>
  <r>
    <x v="1"/>
    <x v="1"/>
    <s v="Orange Choco"/>
    <n v="2702"/>
    <n v="363"/>
    <n v="10.62"/>
    <n v="3855.0599999999995"/>
  </r>
  <r>
    <x v="9"/>
    <x v="5"/>
    <s v="Eclairs"/>
    <n v="700"/>
    <n v="87"/>
    <n v="3.11"/>
    <n v="270.57"/>
  </r>
  <r>
    <x v="4"/>
    <x v="5"/>
    <s v="Eclairs"/>
    <n v="3759"/>
    <n v="150"/>
    <n v="3.11"/>
    <n v="466.5"/>
  </r>
  <r>
    <x v="7"/>
    <x v="1"/>
    <s v="Eclairs"/>
    <n v="1589"/>
    <n v="303"/>
    <n v="3.11"/>
    <n v="942.32999999999993"/>
  </r>
  <r>
    <x v="5"/>
    <x v="1"/>
    <s v="Caramel Stuffed Bars"/>
    <n v="5194"/>
    <n v="288"/>
    <n v="10.38"/>
    <n v="2989.44"/>
  </r>
  <r>
    <x v="9"/>
    <x v="2"/>
    <s v="Milk Bars"/>
    <n v="945"/>
    <n v="75"/>
    <n v="9.33"/>
    <n v="699.75"/>
  </r>
  <r>
    <x v="0"/>
    <x v="4"/>
    <s v="Smooth Sliky Salty"/>
    <n v="1988"/>
    <n v="39"/>
    <n v="5.79"/>
    <n v="225.81"/>
  </r>
  <r>
    <x v="4"/>
    <x v="5"/>
    <s v="Choco Coated Almonds"/>
    <n v="6734"/>
    <n v="123"/>
    <n v="8.65"/>
    <n v="1063.95"/>
  </r>
  <r>
    <x v="0"/>
    <x v="2"/>
    <s v="Almond Choco"/>
    <n v="217"/>
    <n v="36"/>
    <n v="11.88"/>
    <n v="427.68"/>
  </r>
  <r>
    <x v="6"/>
    <x v="5"/>
    <s v="After Nines"/>
    <n v="6279"/>
    <n v="237"/>
    <n v="9.77"/>
    <n v="2315.4899999999998"/>
  </r>
  <r>
    <x v="0"/>
    <x v="2"/>
    <s v="Milk Bars"/>
    <n v="4424"/>
    <n v="201"/>
    <n v="9.33"/>
    <n v="1875.33"/>
  </r>
  <r>
    <x v="7"/>
    <x v="2"/>
    <s v="Eclairs"/>
    <n v="189"/>
    <n v="48"/>
    <n v="3.11"/>
    <n v="149.28"/>
  </r>
  <r>
    <x v="6"/>
    <x v="1"/>
    <s v="After Nines"/>
    <n v="490"/>
    <n v="84"/>
    <n v="9.77"/>
    <n v="820.68"/>
  </r>
  <r>
    <x v="1"/>
    <x v="0"/>
    <s v="Spicy Special Slims"/>
    <n v="434"/>
    <n v="87"/>
    <n v="9"/>
    <n v="783"/>
  </r>
  <r>
    <x v="5"/>
    <x v="4"/>
    <s v="70% Dark Bites"/>
    <n v="10129"/>
    <n v="312"/>
    <n v="14.49"/>
    <n v="4520.88"/>
  </r>
  <r>
    <x v="8"/>
    <x v="3"/>
    <s v="Caramel Stuffed Bars"/>
    <n v="1652"/>
    <n v="102"/>
    <n v="10.38"/>
    <n v="1058.76"/>
  </r>
  <r>
    <x v="1"/>
    <x v="4"/>
    <s v="Spicy Special Slims"/>
    <n v="6433"/>
    <n v="78"/>
    <n v="9"/>
    <n v="702"/>
  </r>
  <r>
    <x v="8"/>
    <x v="5"/>
    <s v="Fruit &amp; Nut Bars"/>
    <n v="2212"/>
    <n v="117"/>
    <n v="6.49"/>
    <n v="759.33"/>
  </r>
  <r>
    <x v="3"/>
    <x v="1"/>
    <s v="99% Dark &amp; Pure"/>
    <n v="609"/>
    <n v="99"/>
    <n v="7.64"/>
    <n v="756.36"/>
  </r>
  <r>
    <x v="0"/>
    <x v="1"/>
    <s v="85% Dark Bars"/>
    <n v="1638"/>
    <n v="48"/>
    <n v="4.97"/>
    <n v="238.56"/>
  </r>
  <r>
    <x v="5"/>
    <x v="5"/>
    <s v="Raspberry Choco"/>
    <n v="3829"/>
    <n v="24"/>
    <n v="11.73"/>
    <n v="281.52"/>
  </r>
  <r>
    <x v="0"/>
    <x v="3"/>
    <s v="Raspberry Choco"/>
    <n v="5775"/>
    <n v="42"/>
    <n v="11.73"/>
    <n v="492.66"/>
  </r>
  <r>
    <x v="4"/>
    <x v="1"/>
    <s v="Orange Choco"/>
    <n v="1071"/>
    <n v="270"/>
    <n v="10.62"/>
    <n v="2867.3999999999996"/>
  </r>
  <r>
    <x v="1"/>
    <x v="2"/>
    <s v="Fruit &amp; Nut Bars"/>
    <n v="5019"/>
    <n v="150"/>
    <n v="6.49"/>
    <n v="973.5"/>
  </r>
  <r>
    <x v="7"/>
    <x v="0"/>
    <s v="Raspberry Choco"/>
    <n v="2863"/>
    <n v="42"/>
    <n v="11.73"/>
    <n v="492.66"/>
  </r>
  <r>
    <x v="0"/>
    <x v="1"/>
    <s v="Manuka Honey Choco"/>
    <n v="1617"/>
    <n v="126"/>
    <n v="7.16"/>
    <n v="902.16"/>
  </r>
  <r>
    <x v="4"/>
    <x v="0"/>
    <s v="Baker's Choco Chips"/>
    <n v="6818"/>
    <n v="6"/>
    <n v="5.6"/>
    <n v="33.599999999999994"/>
  </r>
  <r>
    <x v="8"/>
    <x v="1"/>
    <s v="Raspberry Choco"/>
    <n v="6657"/>
    <n v="276"/>
    <n v="11.73"/>
    <n v="3237.48"/>
  </r>
  <r>
    <x v="8"/>
    <x v="5"/>
    <s v="Eclairs"/>
    <n v="2919"/>
    <n v="93"/>
    <n v="3.11"/>
    <n v="289.22999999999996"/>
  </r>
  <r>
    <x v="7"/>
    <x v="2"/>
    <s v="Smooth Sliky Salty"/>
    <n v="3094"/>
    <n v="246"/>
    <n v="5.79"/>
    <n v="1424.34"/>
  </r>
  <r>
    <x v="4"/>
    <x v="3"/>
    <s v="85% Dark Bars"/>
    <n v="2989"/>
    <n v="3"/>
    <n v="4.97"/>
    <n v="14.91"/>
  </r>
  <r>
    <x v="1"/>
    <x v="4"/>
    <s v="Organic Choco Syrup"/>
    <n v="2268"/>
    <n v="63"/>
    <n v="16.73"/>
    <n v="1053.99"/>
  </r>
  <r>
    <x v="6"/>
    <x v="1"/>
    <s v="Smooth Sliky Salty"/>
    <n v="4753"/>
    <n v="246"/>
    <n v="5.79"/>
    <n v="1424.34"/>
  </r>
  <r>
    <x v="7"/>
    <x v="5"/>
    <s v="99% Dark &amp; Pure"/>
    <n v="7511"/>
    <n v="120"/>
    <n v="7.64"/>
    <n v="916.8"/>
  </r>
  <r>
    <x v="7"/>
    <x v="4"/>
    <s v="Smooth Sliky Salty"/>
    <n v="4326"/>
    <n v="348"/>
    <n v="5.79"/>
    <n v="2014.92"/>
  </r>
  <r>
    <x v="3"/>
    <x v="5"/>
    <s v="Fruit &amp; Nut Bars"/>
    <n v="4935"/>
    <n v="126"/>
    <n v="6.49"/>
    <n v="817.74"/>
  </r>
  <r>
    <x v="4"/>
    <x v="1"/>
    <s v="70% Dark Bites"/>
    <n v="4781"/>
    <n v="123"/>
    <n v="14.49"/>
    <n v="1782.27"/>
  </r>
  <r>
    <x v="6"/>
    <x v="4"/>
    <s v="White Choc"/>
    <n v="7483"/>
    <n v="45"/>
    <n v="13.15"/>
    <n v="591.75"/>
  </r>
  <r>
    <x v="9"/>
    <x v="4"/>
    <s v="Almond Choco"/>
    <n v="6860"/>
    <n v="126"/>
    <n v="11.88"/>
    <n v="1496.88"/>
  </r>
  <r>
    <x v="0"/>
    <x v="0"/>
    <s v="Manuka Honey Choco"/>
    <n v="9002"/>
    <n v="72"/>
    <n v="7.16"/>
    <n v="515.52"/>
  </r>
  <r>
    <x v="4"/>
    <x v="2"/>
    <s v="Manuka Honey Choco"/>
    <n v="1400"/>
    <n v="135"/>
    <n v="7.16"/>
    <n v="966.6"/>
  </r>
  <r>
    <x v="9"/>
    <x v="5"/>
    <s v="After Nines"/>
    <n v="4053"/>
    <n v="24"/>
    <n v="9.77"/>
    <n v="234.48"/>
  </r>
  <r>
    <x v="5"/>
    <x v="2"/>
    <s v="Smooth Sliky Salty"/>
    <n v="2149"/>
    <n v="117"/>
    <n v="5.79"/>
    <n v="677.43"/>
  </r>
  <r>
    <x v="8"/>
    <x v="3"/>
    <s v="Manuka Honey Choco"/>
    <n v="3640"/>
    <n v="51"/>
    <n v="7.16"/>
    <n v="365.16"/>
  </r>
  <r>
    <x v="7"/>
    <x v="3"/>
    <s v="Fruit &amp; Nut Bars"/>
    <n v="630"/>
    <n v="36"/>
    <n v="6.49"/>
    <n v="233.64000000000001"/>
  </r>
  <r>
    <x v="2"/>
    <x v="1"/>
    <s v="Organic Choco Syrup"/>
    <n v="2429"/>
    <n v="144"/>
    <n v="16.73"/>
    <n v="2409.12"/>
  </r>
  <r>
    <x v="2"/>
    <x v="2"/>
    <s v="White Choc"/>
    <n v="2142"/>
    <n v="114"/>
    <n v="13.15"/>
    <n v="1499.1000000000001"/>
  </r>
  <r>
    <x v="5"/>
    <x v="0"/>
    <s v="70% Dark Bites"/>
    <n v="6454"/>
    <n v="54"/>
    <n v="14.49"/>
    <n v="782.46"/>
  </r>
  <r>
    <x v="5"/>
    <x v="0"/>
    <s v="Mint Chip Choco"/>
    <n v="4487"/>
    <n v="333"/>
    <n v="8.7899999999999991"/>
    <n v="2927.0699999999997"/>
  </r>
  <r>
    <x v="8"/>
    <x v="0"/>
    <s v="Almond Choco"/>
    <n v="938"/>
    <n v="366"/>
    <n v="11.88"/>
    <n v="4348.08"/>
  </r>
  <r>
    <x v="8"/>
    <x v="4"/>
    <s v="Baker's Choco Chips"/>
    <n v="8841"/>
    <n v="303"/>
    <n v="5.6"/>
    <n v="1696.8"/>
  </r>
  <r>
    <x v="7"/>
    <x v="3"/>
    <s v="Peanut Butter Cubes"/>
    <n v="4018"/>
    <n v="126"/>
    <n v="12.37"/>
    <n v="1558.62"/>
  </r>
  <r>
    <x v="3"/>
    <x v="0"/>
    <s v="Raspberry Choco"/>
    <n v="714"/>
    <n v="231"/>
    <n v="11.73"/>
    <n v="2709.63"/>
  </r>
  <r>
    <x v="2"/>
    <x v="4"/>
    <s v="White Choc"/>
    <n v="3850"/>
    <n v="102"/>
    <n v="13.15"/>
    <n v="134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A14A9A-123A-478A-9E07-02052B0E6A29}" name="PivotTable1" cacheId="1"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location ref="B5:E11" firstHeaderRow="0" firstDataRow="1" firstDataCol="1"/>
  <pivotFields count="9">
    <pivotField showAll="0">
      <items count="11">
        <item x="7"/>
        <item x="1"/>
        <item x="3"/>
        <item x="5"/>
        <item x="4"/>
        <item x="6"/>
        <item x="8"/>
        <item x="2"/>
        <item x="9"/>
        <item x="0"/>
        <item t="default"/>
      </items>
    </pivotField>
    <pivotField axis="axisRow" showAll="0" sortType="descending">
      <items count="7">
        <item x="4"/>
        <item x="2"/>
        <item x="5"/>
        <item x="0"/>
        <item x="3"/>
        <item x="1"/>
        <item t="default"/>
      </items>
      <autoSortScope>
        <pivotArea dataOnly="0" outline="0" fieldPosition="0">
          <references count="1">
            <reference field="4294967294" count="1" selected="0">
              <x v="0"/>
            </reference>
          </references>
        </pivotArea>
      </autoSortScope>
    </pivotField>
    <pivotField showAll="0"/>
    <pivotField dataField="1" numFmtId="166" showAll="0"/>
    <pivotField dataField="1" numFmtId="3" showAll="0"/>
    <pivotField showAll="0"/>
    <pivotField showAll="0"/>
    <pivotField dragToRow="0" dragToCol="0" dragToPage="0" showAll="0" defaultSubtotal="0"/>
    <pivotField dragToRow="0" dragToCol="0" dragToPage="0" showAll="0" defaultSubtotal="0"/>
  </pivotFields>
  <rowFields count="1">
    <field x="1"/>
  </rowFields>
  <rowItems count="6">
    <i>
      <x v="2"/>
    </i>
    <i>
      <x v="1"/>
    </i>
    <i>
      <x v="3"/>
    </i>
    <i>
      <x v="5"/>
    </i>
    <i>
      <x v="4"/>
    </i>
    <i>
      <x/>
    </i>
  </rowItems>
  <colFields count="1">
    <field x="-2"/>
  </colFields>
  <colItems count="3">
    <i>
      <x/>
    </i>
    <i i="1">
      <x v="1"/>
    </i>
    <i i="2">
      <x v="2"/>
    </i>
  </colItems>
  <dataFields count="3">
    <dataField name="Sum of Amount" fld="3" baseField="1" baseItem="2" numFmtId="169"/>
    <dataField name=" " fld="3" baseField="0" baseItem="0" numFmtId="166"/>
    <dataField name="Sum of Units" fld="4" baseField="0" baseItem="0" numFmtId="3"/>
  </dataFields>
  <formats count="16">
    <format dxfId="448">
      <pivotArea dataOnly="0" fieldPosition="0">
        <references count="1">
          <reference field="1" count="0"/>
        </references>
      </pivotArea>
    </format>
    <format dxfId="447">
      <pivotArea outline="0" fieldPosition="0">
        <references count="1">
          <reference field="4294967294" count="1">
            <x v="0"/>
          </reference>
        </references>
      </pivotArea>
    </format>
    <format dxfId="446">
      <pivotArea field="1" type="button" dataOnly="0" labelOnly="1" outline="0" axis="axisRow" fieldPosition="0"/>
    </format>
    <format dxfId="445">
      <pivotArea dataOnly="0" labelOnly="1" outline="0" fieldPosition="0">
        <references count="1">
          <reference field="4294967294" count="3">
            <x v="0"/>
            <x v="1"/>
            <x v="2"/>
          </reference>
        </references>
      </pivotArea>
    </format>
    <format dxfId="444">
      <pivotArea field="1" type="button" dataOnly="0" labelOnly="1" outline="0" axis="axisRow" fieldPosition="0"/>
    </format>
    <format dxfId="443">
      <pivotArea dataOnly="0" labelOnly="1" outline="0" fieldPosition="0">
        <references count="1">
          <reference field="4294967294" count="1">
            <x v="0"/>
          </reference>
        </references>
      </pivotArea>
    </format>
    <format dxfId="442">
      <pivotArea dataOnly="0" outline="0" fieldPosition="0">
        <references count="1">
          <reference field="4294967294" count="1">
            <x v="2"/>
          </reference>
        </references>
      </pivotArea>
    </format>
    <format dxfId="441">
      <pivotArea dataOnly="0" labelOnly="1" outline="0" fieldPosition="0">
        <references count="1">
          <reference field="4294967294" count="1">
            <x v="1"/>
          </reference>
        </references>
      </pivotArea>
    </format>
    <format dxfId="440">
      <pivotArea dataOnly="0" labelOnly="1" fieldPosition="0">
        <references count="1">
          <reference field="1" count="1">
            <x v="3"/>
          </reference>
        </references>
      </pivotArea>
    </format>
    <format dxfId="439">
      <pivotArea dataOnly="0" labelOnly="1" fieldPosition="0">
        <references count="1">
          <reference field="1" count="1">
            <x v="2"/>
          </reference>
        </references>
      </pivotArea>
    </format>
    <format dxfId="438">
      <pivotArea dataOnly="0" labelOnly="1" fieldPosition="0">
        <references count="1">
          <reference field="1" count="1">
            <x v="5"/>
          </reference>
        </references>
      </pivotArea>
    </format>
    <format dxfId="437">
      <pivotArea dataOnly="0" labelOnly="1" fieldPosition="0">
        <references count="1">
          <reference field="1" count="1">
            <x v="2"/>
          </reference>
        </references>
      </pivotArea>
    </format>
    <format dxfId="436">
      <pivotArea dataOnly="0" labelOnly="1" fieldPosition="0">
        <references count="1">
          <reference field="1" count="1">
            <x v="3"/>
          </reference>
        </references>
      </pivotArea>
    </format>
    <format dxfId="435">
      <pivotArea dataOnly="0" labelOnly="1" fieldPosition="0">
        <references count="1">
          <reference field="1" count="1">
            <x v="1"/>
          </reference>
        </references>
      </pivotArea>
    </format>
    <format dxfId="434">
      <pivotArea dataOnly="0" labelOnly="1" fieldPosition="0">
        <references count="1">
          <reference field="1" count="1">
            <x v="0"/>
          </reference>
        </references>
      </pivotArea>
    </format>
    <format dxfId="433">
      <pivotArea dataOnly="0" labelOnly="1" fieldPosition="0">
        <references count="1">
          <reference field="1" count="1">
            <x v="4"/>
          </reference>
        </references>
      </pivotArea>
    </format>
  </formats>
  <conditionalFormats count="2">
    <conditionalFormat priority="1">
      <pivotAreas count="1">
        <pivotArea type="data" outline="0" collapsedLevelsAreSubtotals="1" fieldPosition="0">
          <references count="1">
            <reference field="4294967294" count="1" selected="0">
              <x v="1"/>
            </reference>
          </references>
        </pivotArea>
      </pivotAreas>
    </conditionalFormat>
    <conditionalFormat priority="2">
      <pivotAreas count="1">
        <pivotArea type="data" collapsedLevelsAreSubtotals="1" fieldPosition="0">
          <references count="2">
            <reference field="4294967294" count="1" selected="0">
              <x v="1"/>
            </reference>
            <reference field="1" count="6">
              <x v="0"/>
              <x v="1"/>
              <x v="2"/>
              <x v="3"/>
              <x v="4"/>
              <x v="5"/>
            </reference>
          </references>
        </pivotArea>
      </pivotAreas>
    </conditionalFormat>
  </conditionalFormats>
  <pivotTableStyleInfo name="PivotStyleDark3"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7C64AC-8159-4DB7-A0EE-66B984B7FED7}" name="PivotTable2"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6:D12" firstHeaderRow="1" firstDataRow="1" firstDataCol="1"/>
  <pivotFields count="2">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4"/>
    </i>
    <i>
      <x v="3"/>
    </i>
    <i>
      <x/>
    </i>
    <i>
      <x v="2"/>
    </i>
    <i>
      <x v="1"/>
    </i>
    <i t="grand">
      <x/>
    </i>
  </rowItems>
  <colItems count="1">
    <i/>
  </colItems>
  <dataFields count="1">
    <dataField fld="1" subtotal="count" baseField="0" baseItem="0" numFmtId="168"/>
  </dataFields>
  <formats count="17">
    <format dxfId="432">
      <pivotArea type="all" dataOnly="0" outline="0" fieldPosition="0"/>
    </format>
    <format dxfId="431">
      <pivotArea outline="0" collapsedLevelsAreSubtotals="1" fieldPosition="0"/>
    </format>
    <format dxfId="430">
      <pivotArea field="0" type="button" dataOnly="0" labelOnly="1" outline="0" axis="axisRow" fieldPosition="0"/>
    </format>
    <format dxfId="429">
      <pivotArea dataOnly="0" labelOnly="1" fieldPosition="0">
        <references count="1">
          <reference field="0" count="0"/>
        </references>
      </pivotArea>
    </format>
    <format dxfId="428">
      <pivotArea dataOnly="0" labelOnly="1" grandRow="1" outline="0" fieldPosition="0"/>
    </format>
    <format dxfId="427">
      <pivotArea outline="0" collapsedLevelsAreSubtotals="1" fieldPosition="0">
        <references count="1">
          <reference field="4294967294" count="1" selected="0">
            <x v="0"/>
          </reference>
        </references>
      </pivotArea>
    </format>
    <format dxfId="426">
      <pivotArea dataOnly="0" labelOnly="1" outline="0" fieldPosition="0">
        <references count="1">
          <reference field="4294967294" count="1">
            <x v="0"/>
          </reference>
        </references>
      </pivotArea>
    </format>
    <format dxfId="425">
      <pivotArea field="0" type="button" dataOnly="0" labelOnly="1" outline="0" axis="axisRow" fieldPosition="0"/>
    </format>
    <format dxfId="424">
      <pivotArea dataOnly="0" labelOnly="1" outline="0" axis="axisValues" fieldPosition="0"/>
    </format>
    <format dxfId="423">
      <pivotArea dataOnly="0" labelOnly="1" grandRow="1" outline="0" fieldPosition="0"/>
    </format>
    <format dxfId="422">
      <pivotArea type="all" dataOnly="0" outline="0" fieldPosition="0"/>
    </format>
    <format dxfId="421">
      <pivotArea outline="0" collapsedLevelsAreSubtotals="1" fieldPosition="0"/>
    </format>
    <format dxfId="420">
      <pivotArea field="0" type="button" dataOnly="0" labelOnly="1" outline="0" axis="axisRow" fieldPosition="0"/>
    </format>
    <format dxfId="419">
      <pivotArea dataOnly="0" labelOnly="1" fieldPosition="0">
        <references count="1">
          <reference field="0" count="0"/>
        </references>
      </pivotArea>
    </format>
    <format dxfId="418">
      <pivotArea dataOnly="0" labelOnly="1" grandRow="1" outline="0" fieldPosition="0"/>
    </format>
    <format dxfId="417">
      <pivotArea dataOnly="0" labelOnly="1" outline="0" axis="axisValues" fieldPosition="0"/>
    </format>
    <format dxfId="416">
      <pivotArea grandRow="1" outline="0" collapsedLevelsAreSubtotals="1" fieldPosition="0"/>
    </format>
  </formats>
  <pivotHierarchies count="1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11">
      <autoFilter ref="A1">
        <filterColumn colId="0">
          <top10 val="5" filterVal="5"/>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BEGINNER PROJECR 1.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7964A79-B70D-41DC-B505-2E8A4C14BB50}"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C19" firstHeaderRow="1" firstDataRow="1" firstDataCol="1"/>
  <pivotFields count="9">
    <pivotField axis="axisRow" showAll="0" measureFilter="1" sortType="descending" defaultSubtotal="0">
      <items count="10">
        <item x="7"/>
        <item x="1"/>
        <item x="3"/>
        <item x="5"/>
        <item x="4"/>
        <item x="6"/>
        <item x="8"/>
        <item x="2"/>
        <item x="9"/>
        <item x="0"/>
      </items>
      <autoSortScope>
        <pivotArea dataOnly="0" outline="0" fieldPosition="0">
          <references count="1">
            <reference field="4294967294" count="1" selected="0">
              <x v="0"/>
            </reference>
          </references>
        </pivotArea>
      </autoSortScope>
    </pivotField>
    <pivotField axis="axisRow" showAll="0" defaultSubtotal="0">
      <items count="6">
        <item x="4"/>
        <item x="2"/>
        <item x="5"/>
        <item x="0"/>
        <item x="3"/>
        <item x="1"/>
      </items>
    </pivotField>
    <pivotField showAll="0" defaultSubtotal="0"/>
    <pivotField dataField="1" numFmtId="166" showAll="0" defaultSubtotal="0"/>
    <pivotField numFmtId="3" showAll="0" defaultSubtotal="0"/>
    <pivotField showAll="0" defaultSubtotal="0"/>
    <pivotField showAll="0" defaultSubtotal="0"/>
    <pivotField dragToRow="0" dragToCol="0" dragToPage="0" showAll="0" defaultSubtotal="0"/>
    <pivotField dragToRow="0" dragToCol="0" dragToPage="0" showAll="0" defaultSubtotal="0"/>
  </pivotFields>
  <rowFields count="2">
    <field x="1"/>
    <field x="0"/>
  </rowFields>
  <rowItems count="13">
    <i>
      <x/>
    </i>
    <i r="1">
      <x v="5"/>
    </i>
    <i>
      <x v="1"/>
    </i>
    <i r="1">
      <x v="5"/>
    </i>
    <i>
      <x v="2"/>
    </i>
    <i r="1">
      <x v="5"/>
    </i>
    <i>
      <x v="3"/>
    </i>
    <i r="1">
      <x v="3"/>
    </i>
    <i>
      <x v="4"/>
    </i>
    <i r="1">
      <x/>
    </i>
    <i>
      <x v="5"/>
    </i>
    <i r="1">
      <x v="9"/>
    </i>
    <i t="grand">
      <x/>
    </i>
  </rowItems>
  <colItems count="1">
    <i/>
  </colItems>
  <dataFields count="1">
    <dataField name="Sum of Amount" fld="3" baseField="1" baseItem="0" numFmtId="4"/>
  </dataFields>
  <formats count="48">
    <format dxfId="368">
      <pivotArea type="all" dataOnly="0" outline="0" fieldPosition="0"/>
    </format>
    <format dxfId="367">
      <pivotArea outline="0" collapsedLevelsAreSubtotals="1" fieldPosition="0"/>
    </format>
    <format dxfId="366">
      <pivotArea field="1" type="button" dataOnly="0" labelOnly="1" outline="0" axis="axisRow" fieldPosition="0"/>
    </format>
    <format dxfId="365">
      <pivotArea dataOnly="0" labelOnly="1" fieldPosition="0">
        <references count="1">
          <reference field="1" count="0"/>
        </references>
      </pivotArea>
    </format>
    <format dxfId="364">
      <pivotArea dataOnly="0" labelOnly="1" grandRow="1" outline="0" fieldPosition="0"/>
    </format>
    <format dxfId="363">
      <pivotArea dataOnly="0" labelOnly="1" fieldPosition="0">
        <references count="2">
          <reference field="0" count="0"/>
          <reference field="1" count="1" selected="0">
            <x v="0"/>
          </reference>
        </references>
      </pivotArea>
    </format>
    <format dxfId="362">
      <pivotArea dataOnly="0" labelOnly="1" fieldPosition="0">
        <references count="2">
          <reference field="0" count="0"/>
          <reference field="1" count="1" selected="0">
            <x v="1"/>
          </reference>
        </references>
      </pivotArea>
    </format>
    <format dxfId="361">
      <pivotArea dataOnly="0" labelOnly="1" fieldPosition="0">
        <references count="2">
          <reference field="0" count="0"/>
          <reference field="1" count="1" selected="0">
            <x v="2"/>
          </reference>
        </references>
      </pivotArea>
    </format>
    <format dxfId="360">
      <pivotArea dataOnly="0" labelOnly="1" fieldPosition="0">
        <references count="2">
          <reference field="0" count="0"/>
          <reference field="1" count="1" selected="0">
            <x v="3"/>
          </reference>
        </references>
      </pivotArea>
    </format>
    <format dxfId="359">
      <pivotArea dataOnly="0" labelOnly="1" fieldPosition="0">
        <references count="2">
          <reference field="0" count="0"/>
          <reference field="1" count="1" selected="0">
            <x v="4"/>
          </reference>
        </references>
      </pivotArea>
    </format>
    <format dxfId="358">
      <pivotArea dataOnly="0" labelOnly="1" fieldPosition="0">
        <references count="2">
          <reference field="0" count="0"/>
          <reference field="1" count="1" selected="0">
            <x v="5"/>
          </reference>
        </references>
      </pivotArea>
    </format>
    <format dxfId="357">
      <pivotArea dataOnly="0" labelOnly="1" outline="0" axis="axisValues" fieldPosition="0"/>
    </format>
    <format dxfId="356">
      <pivotArea outline="0" collapsedLevelsAreSubtotals="1" fieldPosition="0"/>
    </format>
    <format dxfId="355">
      <pivotArea outline="0" fieldPosition="0">
        <references count="1">
          <reference field="4294967294" count="1">
            <x v="0"/>
          </reference>
        </references>
      </pivotArea>
    </format>
    <format dxfId="354">
      <pivotArea field="1" type="button" dataOnly="0" labelOnly="1" outline="0" axis="axisRow" fieldPosition="0"/>
    </format>
    <format dxfId="353">
      <pivotArea dataOnly="0" labelOnly="1" outline="0" axis="axisValues" fieldPosition="0"/>
    </format>
    <format dxfId="352">
      <pivotArea dataOnly="0" labelOnly="1" grandRow="1" outline="0" fieldPosition="0"/>
    </format>
    <format dxfId="351">
      <pivotArea field="1" type="button" dataOnly="0" labelOnly="1" outline="0" axis="axisRow" fieldPosition="0"/>
    </format>
    <format dxfId="350">
      <pivotArea dataOnly="0" labelOnly="1" outline="0" axis="axisValues" fieldPosition="0"/>
    </format>
    <format dxfId="349">
      <pivotArea dataOnly="0" grandRow="1" fieldPosition="0"/>
    </format>
    <format dxfId="348">
      <pivotArea grandRow="1" outline="0" collapsedLevelsAreSubtotals="1" fieldPosition="0"/>
    </format>
    <format dxfId="347">
      <pivotArea dataOnly="0" fieldPosition="0">
        <references count="1">
          <reference field="1" count="1">
            <x v="0"/>
          </reference>
        </references>
      </pivotArea>
    </format>
    <format dxfId="346">
      <pivotArea dataOnly="0" labelOnly="1" fieldPosition="0">
        <references count="1">
          <reference field="1" count="1">
            <x v="1"/>
          </reference>
        </references>
      </pivotArea>
    </format>
    <format dxfId="345">
      <pivotArea dataOnly="0" labelOnly="1" fieldPosition="0">
        <references count="1">
          <reference field="1" count="1">
            <x v="2"/>
          </reference>
        </references>
      </pivotArea>
    </format>
    <format dxfId="344">
      <pivotArea collapsedLevelsAreSubtotals="1" fieldPosition="0">
        <references count="1">
          <reference field="1" count="1">
            <x v="2"/>
          </reference>
        </references>
      </pivotArea>
    </format>
    <format dxfId="343">
      <pivotArea collapsedLevelsAreSubtotals="1" fieldPosition="0">
        <references count="1">
          <reference field="1" count="1">
            <x v="1"/>
          </reference>
        </references>
      </pivotArea>
    </format>
    <format dxfId="342">
      <pivotArea dataOnly="0" labelOnly="1" fieldPosition="0">
        <references count="1">
          <reference field="1" count="1">
            <x v="3"/>
          </reference>
        </references>
      </pivotArea>
    </format>
    <format dxfId="341">
      <pivotArea dataOnly="0" labelOnly="1" fieldPosition="0">
        <references count="1">
          <reference field="1" count="1">
            <x v="4"/>
          </reference>
        </references>
      </pivotArea>
    </format>
    <format dxfId="340">
      <pivotArea dataOnly="0" labelOnly="1" fieldPosition="0">
        <references count="1">
          <reference field="1" count="1">
            <x v="5"/>
          </reference>
        </references>
      </pivotArea>
    </format>
    <format dxfId="339">
      <pivotArea collapsedLevelsAreSubtotals="1" fieldPosition="0">
        <references count="1">
          <reference field="1" count="1">
            <x v="3"/>
          </reference>
        </references>
      </pivotArea>
    </format>
    <format dxfId="338">
      <pivotArea collapsedLevelsAreSubtotals="1" fieldPosition="0">
        <references count="1">
          <reference field="1" count="1">
            <x v="4"/>
          </reference>
        </references>
      </pivotArea>
    </format>
    <format dxfId="337">
      <pivotArea collapsedLevelsAreSubtotals="1" fieldPosition="0">
        <references count="1">
          <reference field="1" count="1">
            <x v="5"/>
          </reference>
        </references>
      </pivotArea>
    </format>
    <format dxfId="336">
      <pivotArea grandRow="1" outline="0" collapsedLevelsAreSubtotals="1" fieldPosition="0"/>
    </format>
    <format dxfId="335">
      <pivotArea collapsedLevelsAreSubtotals="1" fieldPosition="0">
        <references count="2">
          <reference field="0" count="1">
            <x v="5"/>
          </reference>
          <reference field="1" count="1" selected="0">
            <x v="0"/>
          </reference>
        </references>
      </pivotArea>
    </format>
    <format dxfId="334">
      <pivotArea collapsedLevelsAreSubtotals="1" fieldPosition="0">
        <references count="2">
          <reference field="0" count="1">
            <x v="5"/>
          </reference>
          <reference field="1" count="1" selected="0">
            <x v="1"/>
          </reference>
        </references>
      </pivotArea>
    </format>
    <format dxfId="333">
      <pivotArea collapsedLevelsAreSubtotals="1" fieldPosition="0">
        <references count="2">
          <reference field="0" count="1">
            <x v="5"/>
          </reference>
          <reference field="1" count="1" selected="0">
            <x v="2"/>
          </reference>
        </references>
      </pivotArea>
    </format>
    <format dxfId="332">
      <pivotArea collapsedLevelsAreSubtotals="1" fieldPosition="0">
        <references count="2">
          <reference field="0" count="1">
            <x v="3"/>
          </reference>
          <reference field="1" count="1" selected="0">
            <x v="3"/>
          </reference>
        </references>
      </pivotArea>
    </format>
    <format dxfId="331">
      <pivotArea collapsedLevelsAreSubtotals="1" fieldPosition="0">
        <references count="2">
          <reference field="0" count="1">
            <x v="9"/>
          </reference>
          <reference field="1" count="1" selected="0">
            <x v="5"/>
          </reference>
        </references>
      </pivotArea>
    </format>
    <format dxfId="330">
      <pivotArea collapsedLevelsAreSubtotals="1" fieldPosition="0">
        <references count="2">
          <reference field="0" count="1">
            <x v="0"/>
          </reference>
          <reference field="1" count="1" selected="0">
            <x v="4"/>
          </reference>
        </references>
      </pivotArea>
    </format>
    <format dxfId="329">
      <pivotArea grandRow="1" outline="0" collapsedLevelsAreSubtotals="1" fieldPosition="0"/>
    </format>
    <format dxfId="178">
      <pivotArea collapsedLevelsAreSubtotals="1" fieldPosition="0">
        <references count="2">
          <reference field="0" count="1">
            <x v="5"/>
          </reference>
          <reference field="1" count="1" selected="0">
            <x v="0"/>
          </reference>
        </references>
      </pivotArea>
    </format>
    <format dxfId="176">
      <pivotArea collapsedLevelsAreSubtotals="1" fieldPosition="0">
        <references count="2">
          <reference field="0" count="1">
            <x v="5"/>
          </reference>
          <reference field="1" count="1" selected="0">
            <x v="1"/>
          </reference>
        </references>
      </pivotArea>
    </format>
    <format dxfId="174">
      <pivotArea collapsedLevelsAreSubtotals="1" fieldPosition="0">
        <references count="2">
          <reference field="0" count="1">
            <x v="5"/>
          </reference>
          <reference field="1" count="1" selected="0">
            <x v="2"/>
          </reference>
        </references>
      </pivotArea>
    </format>
    <format dxfId="173">
      <pivotArea collapsedLevelsAreSubtotals="1" fieldPosition="0">
        <references count="2">
          <reference field="0" count="1">
            <x v="3"/>
          </reference>
          <reference field="1" count="1" selected="0">
            <x v="3"/>
          </reference>
        </references>
      </pivotArea>
    </format>
    <format dxfId="172">
      <pivotArea collapsedLevelsAreSubtotals="1" fieldPosition="0">
        <references count="2">
          <reference field="0" count="1">
            <x v="9"/>
          </reference>
          <reference field="1" count="1" selected="0">
            <x v="5"/>
          </reference>
        </references>
      </pivotArea>
    </format>
    <format dxfId="171">
      <pivotArea grandRow="1" outline="0" collapsedLevelsAreSubtotals="1" fieldPosition="0"/>
    </format>
    <format dxfId="170">
      <pivotArea collapsedLevelsAreSubtotals="1" fieldPosition="0">
        <references count="2">
          <reference field="0" count="1">
            <x v="0"/>
          </reference>
          <reference field="1" count="1" selected="0">
            <x v="4"/>
          </reference>
        </references>
      </pivotArea>
    </format>
    <format dxfId="60">
      <pivotArea dataOnly="0" labelOnly="1" fieldPosition="0">
        <references count="1">
          <reference field="1" count="0"/>
        </references>
      </pivotArea>
    </format>
  </formats>
  <pivotTableStyleInfo name="PivotStyleLight16" showRowHeaders="1" showColHeaders="1" showRowStripes="0" showColStripes="0" showLastColumn="1"/>
  <filters count="1">
    <filter fld="0" type="count" evalOrder="-1" id="1"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B1822D-9610-4000-99C3-FF6EC6930F86}"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6:H19" firstHeaderRow="1" firstDataRow="1" firstDataCol="1"/>
  <pivotFields count="9">
    <pivotField axis="axisRow" showAll="0" measureFilter="1" sortType="descending" defaultSubtotal="0">
      <items count="10">
        <item x="7"/>
        <item x="1"/>
        <item x="3"/>
        <item x="5"/>
        <item x="4"/>
        <item x="6"/>
        <item x="8"/>
        <item x="2"/>
        <item x="9"/>
        <item x="0"/>
      </items>
      <autoSortScope>
        <pivotArea dataOnly="0" outline="0" fieldPosition="0">
          <references count="1">
            <reference field="4294967294" count="1" selected="0">
              <x v="0"/>
            </reference>
          </references>
        </pivotArea>
      </autoSortScope>
    </pivotField>
    <pivotField axis="axisRow" showAll="0" sortType="ascending" defaultSubtotal="0">
      <items count="6">
        <item x="4"/>
        <item x="2"/>
        <item x="5"/>
        <item x="0"/>
        <item x="3"/>
        <item x="1"/>
      </items>
    </pivotField>
    <pivotField showAll="0" defaultSubtotal="0"/>
    <pivotField dataField="1" numFmtId="166" showAll="0" defaultSubtotal="0"/>
    <pivotField numFmtId="3" showAll="0" defaultSubtotal="0"/>
    <pivotField showAll="0" defaultSubtotal="0"/>
    <pivotField showAll="0" defaultSubtotal="0"/>
    <pivotField dragToRow="0" dragToCol="0" dragToPage="0" showAll="0" defaultSubtotal="0"/>
    <pivotField dragToRow="0" dragToCol="0" dragToPage="0" showAll="0" defaultSubtotal="0"/>
  </pivotFields>
  <rowFields count="2">
    <field x="1"/>
    <field x="0"/>
  </rowFields>
  <rowItems count="13">
    <i>
      <x/>
    </i>
    <i r="1">
      <x v="2"/>
    </i>
    <i>
      <x v="1"/>
    </i>
    <i r="1">
      <x v="1"/>
    </i>
    <i>
      <x v="2"/>
    </i>
    <i r="1">
      <x v="1"/>
    </i>
    <i>
      <x v="3"/>
    </i>
    <i r="1">
      <x v="8"/>
    </i>
    <i>
      <x v="4"/>
    </i>
    <i r="1">
      <x v="2"/>
    </i>
    <i>
      <x v="5"/>
    </i>
    <i r="1">
      <x/>
    </i>
    <i t="grand">
      <x/>
    </i>
  </rowItems>
  <colItems count="1">
    <i/>
  </colItems>
  <dataFields count="1">
    <dataField name="Sum of Amount" fld="3" baseField="0" baseItem="0"/>
  </dataFields>
  <formats count="51">
    <format dxfId="410">
      <pivotArea type="all" dataOnly="0" outline="0" fieldPosition="0"/>
    </format>
    <format dxfId="409">
      <pivotArea outline="0" collapsedLevelsAreSubtotals="1" fieldPosition="0"/>
    </format>
    <format dxfId="408">
      <pivotArea field="1" type="button" dataOnly="0" labelOnly="1" outline="0" axis="axisRow" fieldPosition="0"/>
    </format>
    <format dxfId="407">
      <pivotArea dataOnly="0" labelOnly="1" fieldPosition="0">
        <references count="1">
          <reference field="1" count="0"/>
        </references>
      </pivotArea>
    </format>
    <format dxfId="406">
      <pivotArea dataOnly="0" labelOnly="1" grandRow="1" outline="0" fieldPosition="0"/>
    </format>
    <format dxfId="405">
      <pivotArea dataOnly="0" labelOnly="1" fieldPosition="0">
        <references count="2">
          <reference field="0" count="0"/>
          <reference field="1" count="1" selected="0">
            <x v="0"/>
          </reference>
        </references>
      </pivotArea>
    </format>
    <format dxfId="404">
      <pivotArea dataOnly="0" labelOnly="1" fieldPosition="0">
        <references count="2">
          <reference field="0" count="0"/>
          <reference field="1" count="1" selected="0">
            <x v="1"/>
          </reference>
        </references>
      </pivotArea>
    </format>
    <format dxfId="403">
      <pivotArea dataOnly="0" labelOnly="1" fieldPosition="0">
        <references count="2">
          <reference field="0" count="0"/>
          <reference field="1" count="1" selected="0">
            <x v="2"/>
          </reference>
        </references>
      </pivotArea>
    </format>
    <format dxfId="402">
      <pivotArea dataOnly="0" labelOnly="1" fieldPosition="0">
        <references count="2">
          <reference field="0" count="0"/>
          <reference field="1" count="1" selected="0">
            <x v="3"/>
          </reference>
        </references>
      </pivotArea>
    </format>
    <format dxfId="401">
      <pivotArea dataOnly="0" labelOnly="1" fieldPosition="0">
        <references count="2">
          <reference field="0" count="0"/>
          <reference field="1" count="1" selected="0">
            <x v="4"/>
          </reference>
        </references>
      </pivotArea>
    </format>
    <format dxfId="400">
      <pivotArea dataOnly="0" labelOnly="1" fieldPosition="0">
        <references count="2">
          <reference field="0" count="0"/>
          <reference field="1" count="1" selected="0">
            <x v="5"/>
          </reference>
        </references>
      </pivotArea>
    </format>
    <format dxfId="399">
      <pivotArea dataOnly="0" labelOnly="1" outline="0" axis="axisValues" fieldPosition="0"/>
    </format>
    <format dxfId="398">
      <pivotArea outline="0" collapsedLevelsAreSubtotals="1" fieldPosition="0"/>
    </format>
    <format dxfId="397">
      <pivotArea field="1" type="button" dataOnly="0" labelOnly="1" outline="0" axis="axisRow" fieldPosition="0"/>
    </format>
    <format dxfId="396">
      <pivotArea dataOnly="0" labelOnly="1" outline="0" axis="axisValues" fieldPosition="0"/>
    </format>
    <format dxfId="395">
      <pivotArea dataOnly="0" labelOnly="1" grandRow="1" outline="0" fieldPosition="0"/>
    </format>
    <format dxfId="394">
      <pivotArea field="1" type="button" dataOnly="0" labelOnly="1" outline="0" axis="axisRow" fieldPosition="0"/>
    </format>
    <format dxfId="393">
      <pivotArea dataOnly="0" labelOnly="1" outline="0" axis="axisValues" fieldPosition="0"/>
    </format>
    <format dxfId="392">
      <pivotArea dataOnly="0" grandRow="1" fieldPosition="0"/>
    </format>
    <format dxfId="391">
      <pivotArea grandRow="1" outline="0" collapsedLevelsAreSubtotals="1" fieldPosition="0"/>
    </format>
    <format dxfId="390">
      <pivotArea dataOnly="0" labelOnly="1" fieldPosition="0">
        <references count="1">
          <reference field="1" count="1">
            <x v="0"/>
          </reference>
        </references>
      </pivotArea>
    </format>
    <format dxfId="389">
      <pivotArea dataOnly="0" labelOnly="1" fieldPosition="0">
        <references count="1">
          <reference field="1" count="1">
            <x v="1"/>
          </reference>
        </references>
      </pivotArea>
    </format>
    <format dxfId="388">
      <pivotArea dataOnly="0" labelOnly="1" fieldPosition="0">
        <references count="1">
          <reference field="1" count="1">
            <x v="2"/>
          </reference>
        </references>
      </pivotArea>
    </format>
    <format dxfId="387">
      <pivotArea dataOnly="0" labelOnly="1" fieldPosition="0">
        <references count="1">
          <reference field="1" count="1">
            <x v="3"/>
          </reference>
        </references>
      </pivotArea>
    </format>
    <format dxfId="386">
      <pivotArea dataOnly="0" labelOnly="1" fieldPosition="0">
        <references count="1">
          <reference field="1" count="1">
            <x v="4"/>
          </reference>
        </references>
      </pivotArea>
    </format>
    <format dxfId="385">
      <pivotArea dataOnly="0" labelOnly="1" fieldPosition="0">
        <references count="1">
          <reference field="1" count="1">
            <x v="5"/>
          </reference>
        </references>
      </pivotArea>
    </format>
    <format dxfId="384">
      <pivotArea collapsedLevelsAreSubtotals="1" fieldPosition="0">
        <references count="1">
          <reference field="1" count="1">
            <x v="0"/>
          </reference>
        </references>
      </pivotArea>
    </format>
    <format dxfId="383">
      <pivotArea collapsedLevelsAreSubtotals="1" fieldPosition="0">
        <references count="1">
          <reference field="1" count="1">
            <x v="1"/>
          </reference>
        </references>
      </pivotArea>
    </format>
    <format dxfId="382">
      <pivotArea collapsedLevelsAreSubtotals="1" fieldPosition="0">
        <references count="1">
          <reference field="1" count="1">
            <x v="2"/>
          </reference>
        </references>
      </pivotArea>
    </format>
    <format dxfId="381">
      <pivotArea collapsedLevelsAreSubtotals="1" fieldPosition="0">
        <references count="1">
          <reference field="1" count="1">
            <x v="2"/>
          </reference>
        </references>
      </pivotArea>
    </format>
    <format dxfId="380">
      <pivotArea collapsedLevelsAreSubtotals="1" fieldPosition="0">
        <references count="1">
          <reference field="1" count="1">
            <x v="2"/>
          </reference>
        </references>
      </pivotArea>
    </format>
    <format dxfId="379">
      <pivotArea collapsedLevelsAreSubtotals="1" fieldPosition="0">
        <references count="1">
          <reference field="1" count="1">
            <x v="3"/>
          </reference>
        </references>
      </pivotArea>
    </format>
    <format dxfId="378">
      <pivotArea collapsedLevelsAreSubtotals="1" fieldPosition="0">
        <references count="1">
          <reference field="1" count="1">
            <x v="4"/>
          </reference>
        </references>
      </pivotArea>
    </format>
    <format dxfId="377">
      <pivotArea collapsedLevelsAreSubtotals="1" fieldPosition="0">
        <references count="1">
          <reference field="1" count="1">
            <x v="5"/>
          </reference>
        </references>
      </pivotArea>
    </format>
    <format dxfId="376">
      <pivotArea grandRow="1" outline="0" collapsedLevelsAreSubtotals="1" fieldPosition="0"/>
    </format>
    <format dxfId="375">
      <pivotArea collapsedLevelsAreSubtotals="1" fieldPosition="0">
        <references count="2">
          <reference field="0" count="1">
            <x v="2"/>
          </reference>
          <reference field="1" count="1" selected="0">
            <x v="0"/>
          </reference>
        </references>
      </pivotArea>
    </format>
    <format dxfId="374">
      <pivotArea collapsedLevelsAreSubtotals="1" fieldPosition="0">
        <references count="2">
          <reference field="0" count="1">
            <x v="1"/>
          </reference>
          <reference field="1" count="1" selected="0">
            <x v="1"/>
          </reference>
        </references>
      </pivotArea>
    </format>
    <format dxfId="373">
      <pivotArea collapsedLevelsAreSubtotals="1" fieldPosition="0">
        <references count="2">
          <reference field="0" count="1">
            <x v="1"/>
          </reference>
          <reference field="1" count="1" selected="0">
            <x v="2"/>
          </reference>
        </references>
      </pivotArea>
    </format>
    <format dxfId="372">
      <pivotArea collapsedLevelsAreSubtotals="1" fieldPosition="0">
        <references count="2">
          <reference field="0" count="1">
            <x v="8"/>
          </reference>
          <reference field="1" count="1" selected="0">
            <x v="3"/>
          </reference>
        </references>
      </pivotArea>
    </format>
    <format dxfId="371">
      <pivotArea collapsedLevelsAreSubtotals="1" fieldPosition="0">
        <references count="2">
          <reference field="0" count="1">
            <x v="2"/>
          </reference>
          <reference field="1" count="1" selected="0">
            <x v="4"/>
          </reference>
        </references>
      </pivotArea>
    </format>
    <format dxfId="370">
      <pivotArea collapsedLevelsAreSubtotals="1" fieldPosition="0">
        <references count="2">
          <reference field="0" count="1">
            <x v="0"/>
          </reference>
          <reference field="1" count="1" selected="0">
            <x v="5"/>
          </reference>
        </references>
      </pivotArea>
    </format>
    <format dxfId="369">
      <pivotArea grandRow="1" outline="0" collapsedLevelsAreSubtotals="1" fieldPosition="0"/>
    </format>
    <format dxfId="169">
      <pivotArea collapsedLevelsAreSubtotals="1" fieldPosition="0">
        <references count="2">
          <reference field="0" count="1">
            <x v="2"/>
          </reference>
          <reference field="1" count="1" selected="0">
            <x v="0"/>
          </reference>
        </references>
      </pivotArea>
    </format>
    <format dxfId="168">
      <pivotArea collapsedLevelsAreSubtotals="1" fieldPosition="0">
        <references count="2">
          <reference field="0" count="1">
            <x v="1"/>
          </reference>
          <reference field="1" count="1" selected="0">
            <x v="1"/>
          </reference>
        </references>
      </pivotArea>
    </format>
    <format dxfId="167">
      <pivotArea collapsedLevelsAreSubtotals="1" fieldPosition="0">
        <references count="2">
          <reference field="0" count="1">
            <x v="1"/>
          </reference>
          <reference field="1" count="1" selected="0">
            <x v="2"/>
          </reference>
        </references>
      </pivotArea>
    </format>
    <format dxfId="166">
      <pivotArea collapsedLevelsAreSubtotals="1" fieldPosition="0">
        <references count="2">
          <reference field="0" count="1">
            <x v="8"/>
          </reference>
          <reference field="1" count="1" selected="0">
            <x v="3"/>
          </reference>
        </references>
      </pivotArea>
    </format>
    <format dxfId="165">
      <pivotArea collapsedLevelsAreSubtotals="1" fieldPosition="0">
        <references count="2">
          <reference field="0" count="1">
            <x v="2"/>
          </reference>
          <reference field="1" count="1" selected="0">
            <x v="4"/>
          </reference>
        </references>
      </pivotArea>
    </format>
    <format dxfId="164">
      <pivotArea collapsedLevelsAreSubtotals="1" fieldPosition="0">
        <references count="2">
          <reference field="0" count="1">
            <x v="0"/>
          </reference>
          <reference field="1" count="1" selected="0">
            <x v="5"/>
          </reference>
        </references>
      </pivotArea>
    </format>
    <format dxfId="163">
      <pivotArea grandRow="1" outline="0" collapsedLevelsAreSubtotals="1" fieldPosition="0"/>
    </format>
    <format dxfId="162">
      <pivotArea dataOnly="0" labelOnly="1" fieldPosition="0">
        <references count="1">
          <reference field="1" count="1">
            <x v="0"/>
          </reference>
        </references>
      </pivotArea>
    </format>
    <format dxfId="61">
      <pivotArea dataOnly="0" labelOnly="1" fieldPosition="0">
        <references count="1">
          <reference field="1" count="0"/>
        </references>
      </pivotArea>
    </format>
  </formats>
  <pivotTableStyleInfo name="PivotStyleLight16" showRowHeaders="1" showColHeaders="1" showRowStripes="0" showColStripes="0" showLastColumn="1"/>
  <filters count="1">
    <filter fld="0" type="count" evalOrder="-1" id="2" iMeasureFld="0">
      <autoFilter ref="A1">
        <filterColumn colId="0">
          <top10 top="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DF568AB-D8D5-4509-A753-B793BB5F4D82}" name="PivotTable4"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5:C28" firstHeaderRow="1" firstDataRow="1" firstDataCol="1"/>
  <pivotFields count="3">
    <pivotField axis="axisRow" allDrilled="1" subtotalTop="0" showAll="0" defaultSubtotal="0" defaultAttributeDrillState="1">
      <items count="22">
        <item x="1"/>
        <item x="4"/>
        <item x="6"/>
        <item x="7"/>
        <item x="10"/>
        <item x="11"/>
        <item x="12"/>
        <item x="14"/>
        <item x="16"/>
        <item x="17"/>
        <item x="19"/>
        <item x="20"/>
        <item x="21"/>
        <item x="3"/>
        <item x="5"/>
        <item x="8"/>
        <item x="13"/>
        <item x="9"/>
        <item x="0"/>
        <item x="2"/>
        <item x="15"/>
        <item x="18"/>
      </items>
    </pivotField>
    <pivotField dataField="1" subtotalTop="0" showAll="0" defaultSubtotal="0"/>
    <pivotField allDrilled="1" subtotalTop="0" showAll="0" dataSourceSort="1" defaultSubtotal="0" defaultAttributeDrillState="1"/>
  </pivotFields>
  <rowFields count="1">
    <field x="0"/>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fld="1" subtotal="count" baseField="0" baseItem="0" numFmtId="170"/>
  </dataFields>
  <formats count="23">
    <format dxfId="328">
      <pivotArea type="all" dataOnly="0" outline="0" fieldPosition="0"/>
    </format>
    <format dxfId="327">
      <pivotArea outline="0" collapsedLevelsAreSubtotals="1" fieldPosition="0"/>
    </format>
    <format dxfId="326">
      <pivotArea field="0" type="button" dataOnly="0" labelOnly="1" outline="0" axis="axisRow" fieldPosition="0"/>
    </format>
    <format dxfId="325">
      <pivotArea dataOnly="0" labelOnly="1" fieldPosition="0">
        <references count="1">
          <reference field="0" count="0"/>
        </references>
      </pivotArea>
    </format>
    <format dxfId="324">
      <pivotArea dataOnly="0" labelOnly="1" grandRow="1" outline="0" fieldPosition="0"/>
    </format>
    <format dxfId="323">
      <pivotArea dataOnly="0" labelOnly="1" outline="0" fieldPosition="0">
        <references count="1">
          <reference field="4294967294" count="1">
            <x v="0"/>
          </reference>
        </references>
      </pivotArea>
    </format>
    <format dxfId="322">
      <pivotArea field="0" type="button" dataOnly="0" labelOnly="1" outline="0" axis="axisRow" fieldPosition="0"/>
    </format>
    <format dxfId="321">
      <pivotArea dataOnly="0" labelOnly="1" outline="0" axis="axisValues" fieldPosition="0"/>
    </format>
    <format dxfId="320">
      <pivotArea dataOnly="0" labelOnly="1" grandRow="1" outline="0" fieldPosition="0"/>
    </format>
    <format dxfId="319">
      <pivotArea field="0" type="button" dataOnly="0" labelOnly="1" outline="0" axis="axisRow" fieldPosition="0"/>
    </format>
    <format dxfId="318">
      <pivotArea dataOnly="0" labelOnly="1" outline="0" axis="axisValues" fieldPosition="0"/>
    </format>
    <format dxfId="317">
      <pivotArea dataOnly="0" labelOnly="1" grandRow="1" outline="0" fieldPosition="0"/>
    </format>
    <format dxfId="316">
      <pivotArea type="all" dataOnly="0" outline="0" fieldPosition="0"/>
    </format>
    <format dxfId="315">
      <pivotArea outline="0" collapsedLevelsAreSubtotals="1" fieldPosition="0"/>
    </format>
    <format dxfId="314">
      <pivotArea field="0" type="button" dataOnly="0" labelOnly="1" outline="0" axis="axisRow" fieldPosition="0"/>
    </format>
    <format dxfId="313">
      <pivotArea dataOnly="0" labelOnly="1" fieldPosition="0">
        <references count="1">
          <reference field="0" count="0"/>
        </references>
      </pivotArea>
    </format>
    <format dxfId="312">
      <pivotArea dataOnly="0" labelOnly="1" grandRow="1" outline="0" fieldPosition="0"/>
    </format>
    <format dxfId="311">
      <pivotArea dataOnly="0" labelOnly="1" outline="0" axis="axisValues" fieldPosition="0"/>
    </format>
    <format dxfId="310">
      <pivotArea grandRow="1" outline="0" collapsedLevelsAreSubtotals="1" fieldPosition="0"/>
    </format>
    <format dxfId="309">
      <pivotArea outline="0" collapsedLevelsAreSubtotals="1" fieldPosition="0"/>
    </format>
    <format dxfId="308">
      <pivotArea dataOnly="0" labelOnly="1" outline="0" axis="axisValues" fieldPosition="0"/>
    </format>
    <format dxfId="38">
      <pivotArea grandRow="1" outline="0" collapsedLevelsAreSubtotals="1" fieldPosition="0"/>
    </format>
    <format dxfId="37">
      <pivotArea grandRow="1" outline="0" collapsedLevelsAreSubtotals="1" fieldPosition="0"/>
    </format>
  </formats>
  <pivotHierarchies count="1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BEGINNER PROJECR 1.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1078479-EC82-4E71-AE85-3AB81CEE37B6}"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F29" firstHeaderRow="0" firstDataRow="1" firstDataCol="1"/>
  <pivotFields count="6">
    <pivotField axis="axisRow" allDrilled="1" subtotalTop="0" showAll="0" sortType="ascending" defaultSubtotal="0" defaultAttributeDrillState="1">
      <items count="22">
        <item x="0"/>
        <item x="1"/>
        <item x="2"/>
        <item x="3"/>
        <item x="4"/>
        <item x="5"/>
        <item x="6"/>
        <item x="7"/>
        <item x="8"/>
        <item x="9"/>
        <item x="10"/>
        <item x="11"/>
        <item x="12"/>
        <item x="13"/>
        <item x="14"/>
        <item x="15"/>
        <item x="16"/>
        <item x="17"/>
        <item x="18"/>
        <item x="19"/>
        <item x="20"/>
        <item x="21"/>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23">
    <i>
      <x v="5"/>
    </i>
    <i>
      <x v="2"/>
    </i>
    <i>
      <x v="20"/>
    </i>
    <i>
      <x v="19"/>
    </i>
    <i>
      <x/>
    </i>
    <i>
      <x v="3"/>
    </i>
    <i>
      <x v="13"/>
    </i>
    <i>
      <x v="9"/>
    </i>
    <i>
      <x v="15"/>
    </i>
    <i>
      <x v="11"/>
    </i>
    <i>
      <x v="21"/>
    </i>
    <i>
      <x v="12"/>
    </i>
    <i>
      <x v="14"/>
    </i>
    <i>
      <x v="10"/>
    </i>
    <i>
      <x v="4"/>
    </i>
    <i>
      <x v="1"/>
    </i>
    <i>
      <x v="18"/>
    </i>
    <i>
      <x v="17"/>
    </i>
    <i>
      <x v="16"/>
    </i>
    <i>
      <x v="6"/>
    </i>
    <i>
      <x v="8"/>
    </i>
    <i>
      <x v="7"/>
    </i>
    <i t="grand">
      <x/>
    </i>
  </rowItems>
  <colFields count="1">
    <field x="-2"/>
  </colFields>
  <colItems count="4">
    <i>
      <x/>
    </i>
    <i i="1">
      <x v="1"/>
    </i>
    <i i="2">
      <x v="2"/>
    </i>
    <i i="3">
      <x v="3"/>
    </i>
  </colItems>
  <dataFields count="4">
    <dataField name="Sum of Amount" fld="1" baseField="0" baseItem="0"/>
    <dataField name="Sum of Units" fld="2" baseField="0" baseItem="0"/>
    <dataField fld="3" subtotal="count" baseField="0" baseItem="5"/>
    <dataField fld="4" subtotal="count" baseField="0" baseItem="0" numFmtId="10"/>
  </dataFields>
  <formats count="31">
    <format dxfId="307">
      <pivotArea type="all" dataOnly="0" outline="0" fieldPosition="0"/>
    </format>
    <format dxfId="306">
      <pivotArea outline="0" collapsedLevelsAreSubtotals="1" fieldPosition="0"/>
    </format>
    <format dxfId="305">
      <pivotArea field="0" type="button" dataOnly="0" labelOnly="1" outline="0" axis="axisRow" fieldPosition="0"/>
    </format>
    <format dxfId="304">
      <pivotArea dataOnly="0" labelOnly="1" fieldPosition="0">
        <references count="1">
          <reference field="0" count="0"/>
        </references>
      </pivotArea>
    </format>
    <format dxfId="303">
      <pivotArea dataOnly="0" labelOnly="1" grandRow="1" outline="0" fieldPosition="0"/>
    </format>
    <format dxfId="302">
      <pivotArea dataOnly="0" labelOnly="1" outline="0" fieldPosition="0">
        <references count="1">
          <reference field="4294967294" count="3">
            <x v="0"/>
            <x v="1"/>
            <x v="2"/>
          </reference>
        </references>
      </pivotArea>
    </format>
    <format dxfId="301">
      <pivotArea outline="0" collapsedLevelsAreSubtotals="1" fieldPosition="0">
        <references count="1">
          <reference field="4294967294" count="1" selected="0">
            <x v="3"/>
          </reference>
        </references>
      </pivotArea>
    </format>
    <format dxfId="300">
      <pivotArea dataOnly="0" labelOnly="1" outline="0" fieldPosition="0">
        <references count="1">
          <reference field="4294967294" count="1">
            <x v="3"/>
          </reference>
        </references>
      </pivotArea>
    </format>
    <format dxfId="299">
      <pivotArea field="0" type="button" dataOnly="0" labelOnly="1" outline="0" axis="axisRow" fieldPosition="0"/>
    </format>
    <format dxfId="298">
      <pivotArea field="0" type="button" dataOnly="0" labelOnly="1" outline="0" axis="axisRow" fieldPosition="0"/>
    </format>
    <format dxfId="297">
      <pivotArea dataOnly="0" labelOnly="1" outline="0" fieldPosition="0">
        <references count="1">
          <reference field="4294967294" count="1">
            <x v="0"/>
          </reference>
        </references>
      </pivotArea>
    </format>
    <format dxfId="296">
      <pivotArea dataOnly="0" labelOnly="1" outline="0" fieldPosition="0">
        <references count="1">
          <reference field="4294967294" count="1">
            <x v="0"/>
          </reference>
        </references>
      </pivotArea>
    </format>
    <format dxfId="295">
      <pivotArea dataOnly="0" labelOnly="1" outline="0" fieldPosition="0">
        <references count="1">
          <reference field="4294967294" count="1">
            <x v="1"/>
          </reference>
        </references>
      </pivotArea>
    </format>
    <format dxfId="294">
      <pivotArea dataOnly="0" labelOnly="1" outline="0" fieldPosition="0">
        <references count="1">
          <reference field="4294967294" count="1">
            <x v="1"/>
          </reference>
        </references>
      </pivotArea>
    </format>
    <format dxfId="293">
      <pivotArea dataOnly="0" labelOnly="1" outline="0" fieldPosition="0">
        <references count="1">
          <reference field="4294967294" count="1">
            <x v="2"/>
          </reference>
        </references>
      </pivotArea>
    </format>
    <format dxfId="292">
      <pivotArea dataOnly="0" labelOnly="1" outline="0" fieldPosition="0">
        <references count="1">
          <reference field="4294967294" count="1">
            <x v="2"/>
          </reference>
        </references>
      </pivotArea>
    </format>
    <format dxfId="291">
      <pivotArea dataOnly="0" labelOnly="1" outline="0" fieldPosition="0">
        <references count="1">
          <reference field="4294967294" count="1">
            <x v="3"/>
          </reference>
        </references>
      </pivotArea>
    </format>
    <format dxfId="290">
      <pivotArea dataOnly="0" labelOnly="1" grandRow="1" outline="0" fieldPosition="0"/>
    </format>
    <format dxfId="289">
      <pivotArea type="all" dataOnly="0" outline="0" fieldPosition="0"/>
    </format>
    <format dxfId="288">
      <pivotArea outline="0" collapsedLevelsAreSubtotals="1" fieldPosition="0"/>
    </format>
    <format dxfId="287">
      <pivotArea field="0" type="button" dataOnly="0" labelOnly="1" outline="0" axis="axisRow" fieldPosition="0"/>
    </format>
    <format dxfId="286">
      <pivotArea dataOnly="0" labelOnly="1" fieldPosition="0">
        <references count="1">
          <reference field="0" count="0"/>
        </references>
      </pivotArea>
    </format>
    <format dxfId="285">
      <pivotArea dataOnly="0" labelOnly="1" grandRow="1" outline="0" fieldPosition="0"/>
    </format>
    <format dxfId="284">
      <pivotArea dataOnly="0" labelOnly="1" outline="0" fieldPosition="0">
        <references count="1">
          <reference field="4294967294" count="4">
            <x v="0"/>
            <x v="1"/>
            <x v="2"/>
            <x v="3"/>
          </reference>
        </references>
      </pivotArea>
    </format>
    <format dxfId="283">
      <pivotArea dataOnly="0" outline="0" fieldPosition="0">
        <references count="1">
          <reference field="4294967294" count="1">
            <x v="1"/>
          </reference>
        </references>
      </pivotArea>
    </format>
    <format dxfId="282">
      <pivotArea dataOnly="0" outline="0" fieldPosition="0">
        <references count="1">
          <reference field="4294967294" count="1">
            <x v="2"/>
          </reference>
        </references>
      </pivotArea>
    </format>
    <format dxfId="281">
      <pivotArea dataOnly="0" labelOnly="1" outline="0" fieldPosition="0">
        <references count="1">
          <reference field="4294967294" count="1">
            <x v="3"/>
          </reference>
        </references>
      </pivotArea>
    </format>
    <format dxfId="9">
      <pivotArea field="0" grandRow="1" outline="0" collapsedLevelsAreSubtotals="1" axis="axisRow" fieldPosition="0">
        <references count="1">
          <reference field="4294967294" count="1" selected="0">
            <x v="0"/>
          </reference>
        </references>
      </pivotArea>
    </format>
    <format dxfId="8">
      <pivotArea field="0" grandRow="1" outline="0" collapsedLevelsAreSubtotals="1" axis="axisRow" fieldPosition="0">
        <references count="1">
          <reference field="4294967294" count="1" selected="0">
            <x v="1"/>
          </reference>
        </references>
      </pivotArea>
    </format>
    <format dxfId="7">
      <pivotArea field="0" grandRow="1" outline="0" collapsedLevelsAreSubtotals="1" axis="axisRow" fieldPosition="0">
        <references count="1">
          <reference field="4294967294" count="1" selected="0">
            <x v="3"/>
          </reference>
        </references>
      </pivotArea>
    </format>
    <format dxfId="6">
      <pivotArea field="0" grandRow="1" outline="0" collapsedLevelsAreSubtotals="1" axis="axisRow" fieldPosition="0">
        <references count="1">
          <reference field="4294967294" count="1" selected="0">
            <x v="2"/>
          </reference>
        </references>
      </pivotArea>
    </format>
  </formats>
  <pivotHierarchies count="16">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 BEGINNER PROJECR 1.xlsx!data">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F5456954-6EC6-4E4B-AA6C-E30366912454}" sourceName="Sales Person">
  <pivotTables>
    <pivotTable tabId="5" name="PivotTable1"/>
  </pivotTables>
  <data>
    <tabular pivotCacheId="177626001">
      <items count="10">
        <i x="7" s="1"/>
        <i x="1" s="1"/>
        <i x="3" s="1"/>
        <i x="5" s="1"/>
        <i x="4" s="1"/>
        <i x="6" s="1"/>
        <i x="8" s="1"/>
        <i x="2" s="1"/>
        <i x="9"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9ABE2E8D-0679-4FFD-8AD0-F95B36BB784A}" sourceName="[data].[Geography]">
  <pivotTables>
    <pivotTable tabId="13" name="PivotTable4"/>
  </pivotTables>
  <data>
    <olap pivotCacheId="2058832094">
      <levels count="2">
        <level uniqueName="[data].[Geography].[(All)]" sourceCaption="(All)" count="0"/>
        <level uniqueName="[data].[Geography].[Geography]" sourceCaption="Geography" count="6">
          <ranges>
            <range startItem="0">
              <i n="[data].[Geography].&amp;[Australia]" c="Australia"/>
              <i n="[data].[Geography].&amp;[Canada]" c="Canada"/>
              <i n="[data].[Geography].&amp;[India]" c="India"/>
              <i n="[data].[Geography].&amp;[New Zealand]" c="New Zealand"/>
              <i n="[data].[Geography].&amp;[UK]" c="UK"/>
              <i n="[data].[Geography].&amp;[USA]" c="USA"/>
            </range>
          </ranges>
        </level>
      </levels>
      <selections count="1">
        <selection n="[data].[Geograph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1" xr10:uid="{6DFF22CA-0154-4F00-8EBD-21F64C06D9F1}" sourceName="[data].[Geography]">
  <pivotTables>
    <pivotTable tabId="17" name="PivotTable1"/>
  </pivotTables>
  <data>
    <olap pivotCacheId="305067743">
      <levels count="2">
        <level uniqueName="[data].[Geography].[(All)]" sourceCaption="(All)" count="0"/>
        <level uniqueName="[data].[Geography].[Geography]" sourceCaption="Geography" count="6">
          <ranges>
            <range startItem="0">
              <i n="[data].[Geography].&amp;[Australia]" c="Australia"/>
              <i n="[data].[Geography].&amp;[Canada]" c="Canada"/>
              <i n="[data].[Geography].&amp;[India]" c="India"/>
              <i n="[data].[Geography].&amp;[New Zealand]" c="New Zealand"/>
              <i n="[data].[Geography].&amp;[UK]" c="UK"/>
              <i n="[data].[Geography].&amp;[USA]" c="USA"/>
            </range>
          </ranges>
        </level>
      </levels>
      <selections count="1">
        <selection n="[data].[Geograph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xr10:uid="{B370EFCC-6A94-4864-B710-D24BA314D5FF}" cache="Slicer_Sales_Person" caption="Sales Person" startItem="4" columnCount="2" style="SlicerStyleLight2" rowHeight="216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xr10:uid="{780C7FB5-BB43-4169-B410-790C8F240850}" cache="Slicer_Geography" caption="Geography" level="1" style="SlicerStyleLight2" rowHeight="2730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1" xr10:uid="{4EA25D41-38D7-4B10-9532-BC5AB1321212}" cache="Slicer_Geography1" caption="Geography" level="1" style="SlicerStyleLight2"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ducts" displayName="products" ref="K5:L27" totalsRowShown="0" headerRowDxfId="463" dataDxfId="462" tableBorderDxfId="461">
  <autoFilter ref="K5:L27" xr:uid="{00000000-0009-0000-0100-000001000000}"/>
  <tableColumns count="2">
    <tableColumn id="1" xr3:uid="{00000000-0010-0000-0000-000001000000}" name="Product" dataDxfId="0"/>
    <tableColumn id="2" xr3:uid="{00000000-0010-0000-0000-000002000000}" name="Cost per unit" dataDxfId="46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data" displayName="data" ref="C5:I305" totalsRowShown="0" headerRowDxfId="459" dataDxfId="458">
  <tableColumns count="7">
    <tableColumn id="1" xr3:uid="{00000000-0010-0000-0100-000001000000}" name="Sales Person" dataDxfId="457"/>
    <tableColumn id="2" xr3:uid="{00000000-0010-0000-0100-000002000000}" name="Geography" dataDxfId="1"/>
    <tableColumn id="3" xr3:uid="{00000000-0010-0000-0100-000003000000}" name="Product" dataDxfId="456"/>
    <tableColumn id="4" xr3:uid="{00000000-0010-0000-0100-000004000000}" name="Amount" dataDxfId="2"/>
    <tableColumn id="5" xr3:uid="{00000000-0010-0000-0100-000005000000}" name="Units" dataDxfId="4"/>
    <tableColumn id="6" xr3:uid="{76A4B8C8-D86B-4FF0-9F17-A802833D8268}" name="Cost per unit" dataDxfId="3">
      <calculatedColumnFormula>_xlfn.XLOOKUP(data[[#This Row],[Product]],products[Product],products[Cost per unit])</calculatedColumnFormula>
    </tableColumn>
    <tableColumn id="7" xr3:uid="{8F8FF74D-1197-4486-8189-0002A92C0D9D}" name="cost" dataDxfId="5">
      <calculatedColumnFormula>data[[#This Row],[Cost per unit]]*data[[#This Row],[Units]]</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data_5" displayName="data_5" ref="C5:G305" totalsRowShown="0" dataDxfId="455">
  <sortState xmlns:xlrd2="http://schemas.microsoft.com/office/spreadsheetml/2017/richdata2" ref="C6:G305">
    <sortCondition descending="1" ref="G5:G305"/>
  </sortState>
  <tableColumns count="5">
    <tableColumn id="1" xr3:uid="{00000000-0010-0000-0200-000001000000}" name="Sales Person" dataDxfId="454"/>
    <tableColumn id="2" xr3:uid="{00000000-0010-0000-0200-000002000000}" name="Geography" dataDxfId="453"/>
    <tableColumn id="3" xr3:uid="{00000000-0010-0000-0200-000003000000}" name="Product" dataDxfId="452"/>
    <tableColumn id="4" xr3:uid="{00000000-0010-0000-0200-000004000000}" name="Amount" dataDxfId="451"/>
    <tableColumn id="5" xr3:uid="{00000000-0010-0000-0200-000005000000}" name="Units" dataDxfId="45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D736EB6-72BF-4311-A8ED-B4F21FE8FB0A}" name="Table3" displayName="Table3" ref="A3:E303" totalsRowShown="0">
  <autoFilter ref="A3:E303" xr:uid="{7D736EB6-72BF-4311-A8ED-B4F21FE8FB0A}"/>
  <tableColumns count="5">
    <tableColumn id="1" xr3:uid="{D92B45A1-1D7B-4F66-94AA-B8F3E12D5637}" name="Sales Person"/>
    <tableColumn id="2" xr3:uid="{9EC651F7-8A74-4CBC-939D-5D17F5708FA5}" name="Geography"/>
    <tableColumn id="3" xr3:uid="{32D73323-E799-414F-BE2E-D2BDE8B16D4F}" name="Product"/>
    <tableColumn id="4" xr3:uid="{58935B44-3CFA-49D9-9E24-BC048885DC1A}" name="Amount"/>
    <tableColumn id="5" xr3:uid="{CB135C18-34C7-41A5-80C2-C494434E66AE}" name="Unit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5F3521C-706C-4220-8CD1-12A2D09F6D31}" name="Table5" displayName="Table5" ref="A3:E61" totalsRowShown="0">
  <autoFilter ref="A3:E61" xr:uid="{55F3521C-706C-4220-8CD1-12A2D09F6D31}"/>
  <tableColumns count="5">
    <tableColumn id="1" xr3:uid="{E0E33581-7C66-4526-9F91-4F02D2671FF9}" name="Sales Person"/>
    <tableColumn id="2" xr3:uid="{78A0D0D0-B2C9-4841-8AE1-5CB98D4574B2}" name="Geography"/>
    <tableColumn id="3" xr3:uid="{844EC678-A1BF-4175-A7D6-5375E55F5239}" name="Product"/>
    <tableColumn id="4" xr3:uid="{6C3BDB67-C099-4543-A9FC-67B1A5ADA2B4}" name="Amount"/>
    <tableColumn id="5" xr3:uid="{92BC3E0A-F6A4-47B9-8521-6BA5B6ED5B0E}" name="Unit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57C06F7-E0DB-4C70-A49D-554FE72E7C0A}" name="data8" displayName="data8" ref="N7:R307" totalsRowShown="0" headerRowDxfId="415" dataDxfId="414" tableBorderDxfId="413">
  <tableColumns count="5">
    <tableColumn id="1" xr3:uid="{A3E71821-E8A0-47F0-A1CE-7B4493B4CC06}" name="Sales Person" dataDxfId="182"/>
    <tableColumn id="2" xr3:uid="{8F9DEFA1-F8FF-4D93-9DAC-7FEA38E4B4A7}" name="Geography" dataDxfId="412"/>
    <tableColumn id="3" xr3:uid="{4F879491-6D97-4DEA-B10F-C5074D7B97F0}" name="Product" dataDxfId="181"/>
    <tableColumn id="4" xr3:uid="{C23255FD-E667-4AD2-A61B-7E53E312BD0C}" name="Amount" dataDxfId="180"/>
    <tableColumn id="5" xr3:uid="{8FBA9513-EA1A-47A0-8D30-DEB20F65AFD8}" name="Units" dataDxfId="41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10D98EA-5320-407B-B329-193A764D679A}" name="Table6" displayName="Table6" ref="A3:G5" totalsRowShown="0">
  <autoFilter ref="A3:G5" xr:uid="{310D98EA-5320-407B-B329-193A764D679A}"/>
  <tableColumns count="7">
    <tableColumn id="1" xr3:uid="{1A7DC3BA-6164-4A19-B65D-7D5235CC449E}" name="Sales Person"/>
    <tableColumn id="2" xr3:uid="{DCD0FD99-F006-4C7E-9084-4F90E8D7F851}" name="Geography"/>
    <tableColumn id="3" xr3:uid="{0270ED70-D31C-4DE8-843C-4258E0AF8279}" name="Product"/>
    <tableColumn id="4" xr3:uid="{94759701-6FC7-4B7D-AF98-B4DCD762DFDD}" name="Amount"/>
    <tableColumn id="5" xr3:uid="{B0DD6953-C5E6-4331-86FA-CD278EFE2F16}" name="Units"/>
    <tableColumn id="6" xr3:uid="{50F06C8C-5466-4406-8F69-127BE9FE680C}" name="Cost per unit"/>
    <tableColumn id="7" xr3:uid="{55EDF97D-FFF3-49D9-9DC6-FF6D22AE0D39}" name="cos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1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E658"/>
  <sheetViews>
    <sheetView showGridLines="0" zoomScale="84" zoomScaleNormal="70" workbookViewId="0">
      <selection activeCell="K5" sqref="K5:K27"/>
    </sheetView>
  </sheetViews>
  <sheetFormatPr defaultColWidth="9" defaultRowHeight="14.4"/>
  <cols>
    <col min="1" max="1" width="1.6640625" style="55" customWidth="1"/>
    <col min="2" max="2" width="3.6640625" style="1" customWidth="1"/>
    <col min="3" max="3" width="19.5546875" style="1" customWidth="1"/>
    <col min="4" max="4" width="14.6640625" style="1" customWidth="1"/>
    <col min="5" max="5" width="21.88671875" style="1" customWidth="1"/>
    <col min="6" max="7" width="12.88671875" style="1" customWidth="1"/>
    <col min="8" max="8" width="13.5546875" style="1" customWidth="1"/>
    <col min="9" max="9" width="11.6640625" style="1" customWidth="1"/>
    <col min="10" max="10" width="3.88671875" style="1" customWidth="1"/>
    <col min="11" max="11" width="32.5546875" style="1" customWidth="1"/>
    <col min="12" max="12" width="14.5546875" style="1" customWidth="1"/>
    <col min="13" max="13" width="9" style="1"/>
    <col min="14" max="14" width="3.5546875" style="1" customWidth="1"/>
    <col min="15" max="24" width="9" style="1"/>
    <col min="25" max="25" width="21.88671875" style="1" customWidth="1"/>
    <col min="26" max="26" width="14.44140625" style="1" customWidth="1"/>
    <col min="27" max="30" width="9" style="1"/>
    <col min="31" max="31" width="21.88671875" style="1" customWidth="1"/>
    <col min="32" max="16384" width="9" style="1"/>
  </cols>
  <sheetData>
    <row r="1" spans="1:57" s="73" customFormat="1" ht="52.5" customHeight="1">
      <c r="A1" s="69"/>
      <c r="B1" s="70"/>
      <c r="C1" s="71" t="s">
        <v>92</v>
      </c>
      <c r="D1" s="72"/>
      <c r="E1" s="72"/>
      <c r="F1" s="70"/>
      <c r="G1" s="70"/>
      <c r="H1" s="70"/>
      <c r="I1" s="70"/>
      <c r="J1" s="70"/>
      <c r="K1" s="70"/>
      <c r="L1" s="70"/>
      <c r="M1" s="70"/>
      <c r="N1" s="70"/>
      <c r="O1" s="70"/>
      <c r="P1" s="70"/>
      <c r="Q1" s="70"/>
      <c r="R1" s="70"/>
      <c r="S1" s="70"/>
      <c r="T1" s="70"/>
      <c r="U1" s="70"/>
      <c r="V1" s="70"/>
      <c r="W1" s="70"/>
      <c r="X1" s="70"/>
      <c r="Y1" s="70"/>
      <c r="Z1" s="70"/>
      <c r="AA1" s="70"/>
      <c r="AB1" s="70"/>
      <c r="AC1" s="70"/>
      <c r="AD1" s="70"/>
      <c r="AE1" s="70"/>
      <c r="AF1" s="70"/>
      <c r="AG1" s="70"/>
      <c r="AH1" s="70"/>
      <c r="AI1" s="70"/>
      <c r="AJ1" s="70"/>
      <c r="AK1" s="70"/>
      <c r="AL1" s="70"/>
      <c r="AM1" s="70"/>
      <c r="AN1" s="70"/>
      <c r="AO1" s="70"/>
      <c r="AP1" s="70"/>
      <c r="AQ1" s="70"/>
      <c r="AR1" s="70"/>
      <c r="AS1" s="70"/>
      <c r="AT1" s="70"/>
      <c r="AU1" s="70"/>
      <c r="AV1" s="70"/>
      <c r="AW1" s="70"/>
      <c r="AX1" s="70"/>
      <c r="AY1" s="70"/>
      <c r="AZ1" s="70"/>
      <c r="BA1" s="70"/>
      <c r="BB1" s="70"/>
      <c r="BC1" s="70"/>
      <c r="BD1" s="70"/>
      <c r="BE1" s="70"/>
    </row>
    <row r="4" spans="1:57" ht="15" thickBot="1"/>
    <row r="5" spans="1:57" ht="15" thickBot="1">
      <c r="C5" s="21" t="s">
        <v>0</v>
      </c>
      <c r="D5" s="21" t="s">
        <v>1</v>
      </c>
      <c r="E5" s="21" t="s">
        <v>2</v>
      </c>
      <c r="F5" s="68" t="s">
        <v>3</v>
      </c>
      <c r="G5" s="68" t="s">
        <v>4</v>
      </c>
      <c r="H5" s="16" t="s">
        <v>6</v>
      </c>
      <c r="I5" s="16" t="s">
        <v>77</v>
      </c>
      <c r="K5" s="171" t="s">
        <v>2</v>
      </c>
      <c r="L5" s="74" t="s">
        <v>6</v>
      </c>
      <c r="N5" s="86" t="s">
        <v>5</v>
      </c>
      <c r="O5" s="87"/>
    </row>
    <row r="6" spans="1:57">
      <c r="C6" s="88" t="s">
        <v>7</v>
      </c>
      <c r="D6" s="138" t="s">
        <v>8</v>
      </c>
      <c r="E6" s="78" t="s">
        <v>9</v>
      </c>
      <c r="F6" s="139">
        <v>1624</v>
      </c>
      <c r="G6" s="89">
        <v>114</v>
      </c>
      <c r="H6" s="172">
        <f>_xlfn.XLOOKUP(data[[#This Row],[Product]],products[Product],products[Cost per unit])</f>
        <v>14.49</v>
      </c>
      <c r="I6" s="79">
        <f>data[[#This Row],[Cost per unit]]*data[[#This Row],[Units]]</f>
        <v>1651.8600000000001</v>
      </c>
      <c r="K6" s="136" t="s">
        <v>11</v>
      </c>
      <c r="L6" s="75">
        <v>9.33</v>
      </c>
      <c r="N6" s="76">
        <v>1</v>
      </c>
      <c r="O6" s="77" t="s">
        <v>10</v>
      </c>
      <c r="P6" s="78"/>
      <c r="Q6" s="78"/>
      <c r="R6" s="78"/>
      <c r="S6" s="78"/>
      <c r="T6" s="79"/>
    </row>
    <row r="7" spans="1:57">
      <c r="C7" s="90" t="s">
        <v>12</v>
      </c>
      <c r="D7" s="136" t="s">
        <v>13</v>
      </c>
      <c r="E7" s="62" t="s">
        <v>14</v>
      </c>
      <c r="F7" s="140">
        <v>6706</v>
      </c>
      <c r="G7" s="64">
        <v>459</v>
      </c>
      <c r="H7" s="136">
        <f>_xlfn.XLOOKUP(data[[#This Row],[Product]],products[Product],products[Cost per unit])</f>
        <v>8.65</v>
      </c>
      <c r="I7" s="81">
        <f>data[[#This Row],[Cost per unit]]*data[[#This Row],[Units]]</f>
        <v>3970.3500000000004</v>
      </c>
      <c r="K7" s="136" t="s">
        <v>16</v>
      </c>
      <c r="L7" s="75">
        <v>11.7</v>
      </c>
      <c r="N7" s="80">
        <v>2</v>
      </c>
      <c r="O7" s="66" t="s">
        <v>15</v>
      </c>
      <c r="P7" s="62"/>
      <c r="Q7" s="62"/>
      <c r="R7" s="62"/>
      <c r="S7" s="62"/>
      <c r="T7" s="81"/>
    </row>
    <row r="8" spans="1:57">
      <c r="C8" s="90" t="s">
        <v>17</v>
      </c>
      <c r="D8" s="136" t="s">
        <v>13</v>
      </c>
      <c r="E8" s="62" t="s">
        <v>18</v>
      </c>
      <c r="F8" s="140">
        <v>959</v>
      </c>
      <c r="G8" s="64">
        <v>147</v>
      </c>
      <c r="H8" s="136">
        <f>_xlfn.XLOOKUP(data[[#This Row],[Product]],products[Product],products[Cost per unit])</f>
        <v>11.88</v>
      </c>
      <c r="I8" s="81">
        <f>data[[#This Row],[Cost per unit]]*data[[#This Row],[Units]]</f>
        <v>1746.3600000000001</v>
      </c>
      <c r="K8" s="136" t="s">
        <v>18</v>
      </c>
      <c r="L8" s="75">
        <v>11.88</v>
      </c>
      <c r="N8" s="80">
        <v>3</v>
      </c>
      <c r="O8" s="66" t="s">
        <v>19</v>
      </c>
      <c r="P8" s="62"/>
      <c r="Q8" s="62"/>
      <c r="R8" s="62"/>
      <c r="S8" s="62"/>
      <c r="T8" s="81"/>
    </row>
    <row r="9" spans="1:57">
      <c r="C9" s="90" t="s">
        <v>20</v>
      </c>
      <c r="D9" s="136" t="s">
        <v>21</v>
      </c>
      <c r="E9" s="62" t="s">
        <v>22</v>
      </c>
      <c r="F9" s="140">
        <v>9632</v>
      </c>
      <c r="G9" s="64">
        <v>288</v>
      </c>
      <c r="H9" s="136">
        <f>_xlfn.XLOOKUP(data[[#This Row],[Product]],products[Product],products[Cost per unit])</f>
        <v>6.47</v>
      </c>
      <c r="I9" s="81">
        <f>data[[#This Row],[Cost per unit]]*data[[#This Row],[Units]]</f>
        <v>1863.36</v>
      </c>
      <c r="K9" s="136" t="s">
        <v>24</v>
      </c>
      <c r="L9" s="75">
        <v>11.73</v>
      </c>
      <c r="N9" s="80">
        <v>4</v>
      </c>
      <c r="O9" s="66" t="s">
        <v>23</v>
      </c>
      <c r="P9" s="62"/>
      <c r="Q9" s="62"/>
      <c r="R9" s="62"/>
      <c r="S9" s="62"/>
      <c r="T9" s="81"/>
    </row>
    <row r="10" spans="1:57">
      <c r="C10" s="90" t="s">
        <v>25</v>
      </c>
      <c r="D10" s="136" t="s">
        <v>26</v>
      </c>
      <c r="E10" s="62" t="s">
        <v>27</v>
      </c>
      <c r="F10" s="140">
        <v>2100</v>
      </c>
      <c r="G10" s="64">
        <v>414</v>
      </c>
      <c r="H10" s="136">
        <f>_xlfn.XLOOKUP(data[[#This Row],[Product]],products[Product],products[Cost per unit])</f>
        <v>13.15</v>
      </c>
      <c r="I10" s="81">
        <f>data[[#This Row],[Cost per unit]]*data[[#This Row],[Units]]</f>
        <v>5444.1</v>
      </c>
      <c r="K10" s="136" t="s">
        <v>29</v>
      </c>
      <c r="L10" s="75">
        <v>8.7899999999999991</v>
      </c>
      <c r="N10" s="80">
        <v>5</v>
      </c>
      <c r="O10" s="66" t="s">
        <v>28</v>
      </c>
      <c r="P10" s="62"/>
      <c r="Q10" s="62"/>
      <c r="R10" s="62"/>
      <c r="S10" s="62"/>
      <c r="T10" s="81"/>
    </row>
    <row r="11" spans="1:57">
      <c r="C11" s="90" t="s">
        <v>7</v>
      </c>
      <c r="D11" s="136" t="s">
        <v>13</v>
      </c>
      <c r="E11" s="62" t="s">
        <v>30</v>
      </c>
      <c r="F11" s="140">
        <v>8869</v>
      </c>
      <c r="G11" s="64">
        <v>432</v>
      </c>
      <c r="H11" s="136">
        <f>_xlfn.XLOOKUP(data[[#This Row],[Product]],products[Product],products[Cost per unit])</f>
        <v>12.37</v>
      </c>
      <c r="I11" s="81">
        <f>data[[#This Row],[Cost per unit]]*data[[#This Row],[Units]]</f>
        <v>5343.8399999999992</v>
      </c>
      <c r="K11" s="136" t="s">
        <v>32</v>
      </c>
      <c r="L11" s="75">
        <v>3.11</v>
      </c>
      <c r="N11" s="80">
        <v>6</v>
      </c>
      <c r="O11" s="66" t="s">
        <v>31</v>
      </c>
      <c r="P11" s="62"/>
      <c r="Q11" s="62"/>
      <c r="R11" s="62"/>
      <c r="S11" s="62"/>
      <c r="T11" s="81"/>
    </row>
    <row r="12" spans="1:57">
      <c r="C12" s="90" t="s">
        <v>25</v>
      </c>
      <c r="D12" s="136" t="s">
        <v>33</v>
      </c>
      <c r="E12" s="62" t="s">
        <v>34</v>
      </c>
      <c r="F12" s="140">
        <v>2681</v>
      </c>
      <c r="G12" s="64">
        <v>54</v>
      </c>
      <c r="H12" s="136">
        <f>_xlfn.XLOOKUP(data[[#This Row],[Product]],products[Product],products[Cost per unit])</f>
        <v>5.79</v>
      </c>
      <c r="I12" s="81">
        <f>data[[#This Row],[Cost per unit]]*data[[#This Row],[Units]]</f>
        <v>312.66000000000003</v>
      </c>
      <c r="K12" s="136" t="s">
        <v>22</v>
      </c>
      <c r="L12" s="75">
        <v>6.47</v>
      </c>
      <c r="N12" s="80">
        <v>7</v>
      </c>
      <c r="O12" s="66" t="s">
        <v>35</v>
      </c>
      <c r="P12" s="62"/>
      <c r="Q12" s="62"/>
      <c r="R12" s="62"/>
      <c r="S12" s="62"/>
      <c r="T12" s="81"/>
    </row>
    <row r="13" spans="1:57">
      <c r="C13" s="90" t="s">
        <v>12</v>
      </c>
      <c r="D13" s="136" t="s">
        <v>13</v>
      </c>
      <c r="E13" s="62" t="s">
        <v>36</v>
      </c>
      <c r="F13" s="140">
        <v>5012</v>
      </c>
      <c r="G13" s="64">
        <v>210</v>
      </c>
      <c r="H13" s="136">
        <f>_xlfn.XLOOKUP(data[[#This Row],[Product]],products[Product],products[Cost per unit])</f>
        <v>9.77</v>
      </c>
      <c r="I13" s="81">
        <f>data[[#This Row],[Cost per unit]]*data[[#This Row],[Units]]</f>
        <v>2051.6999999999998</v>
      </c>
      <c r="K13" s="136" t="s">
        <v>38</v>
      </c>
      <c r="L13" s="75">
        <v>7.64</v>
      </c>
      <c r="N13" s="80">
        <v>8</v>
      </c>
      <c r="O13" s="66" t="s">
        <v>37</v>
      </c>
      <c r="P13" s="62"/>
      <c r="Q13" s="62"/>
      <c r="R13" s="62"/>
      <c r="S13" s="62"/>
      <c r="T13" s="81"/>
    </row>
    <row r="14" spans="1:57">
      <c r="C14" s="90" t="s">
        <v>39</v>
      </c>
      <c r="D14" s="136" t="s">
        <v>33</v>
      </c>
      <c r="E14" s="62" t="s">
        <v>16</v>
      </c>
      <c r="F14" s="140">
        <v>1281</v>
      </c>
      <c r="G14" s="64">
        <v>75</v>
      </c>
      <c r="H14" s="136">
        <f>_xlfn.XLOOKUP(data[[#This Row],[Product]],products[Product],products[Cost per unit])</f>
        <v>11.7</v>
      </c>
      <c r="I14" s="81">
        <f>data[[#This Row],[Cost per unit]]*data[[#This Row],[Units]]</f>
        <v>877.5</v>
      </c>
      <c r="K14" s="136" t="s">
        <v>41</v>
      </c>
      <c r="L14" s="75">
        <v>10.62</v>
      </c>
      <c r="N14" s="80">
        <v>9</v>
      </c>
      <c r="O14" s="66" t="s">
        <v>40</v>
      </c>
      <c r="P14" s="62"/>
      <c r="Q14" s="62"/>
      <c r="R14" s="62"/>
      <c r="S14" s="62"/>
      <c r="T14" s="81"/>
    </row>
    <row r="15" spans="1:57" ht="15" thickBot="1">
      <c r="C15" s="90" t="s">
        <v>42</v>
      </c>
      <c r="D15" s="136" t="s">
        <v>8</v>
      </c>
      <c r="E15" s="62" t="s">
        <v>16</v>
      </c>
      <c r="F15" s="140">
        <v>4991</v>
      </c>
      <c r="G15" s="64">
        <v>12</v>
      </c>
      <c r="H15" s="136">
        <f>_xlfn.XLOOKUP(data[[#This Row],[Product]],products[Product],products[Cost per unit])</f>
        <v>11.7</v>
      </c>
      <c r="I15" s="81">
        <f>data[[#This Row],[Cost per unit]]*data[[#This Row],[Units]]</f>
        <v>140.39999999999998</v>
      </c>
      <c r="K15" s="136" t="s">
        <v>44</v>
      </c>
      <c r="L15" s="75">
        <v>9</v>
      </c>
      <c r="N15" s="82">
        <v>10</v>
      </c>
      <c r="O15" s="83" t="s">
        <v>43</v>
      </c>
      <c r="P15" s="84"/>
      <c r="Q15" s="84"/>
      <c r="R15" s="84"/>
      <c r="S15" s="84"/>
      <c r="T15" s="85"/>
    </row>
    <row r="16" spans="1:57">
      <c r="C16" s="90" t="s">
        <v>45</v>
      </c>
      <c r="D16" s="136" t="s">
        <v>26</v>
      </c>
      <c r="E16" s="62" t="s">
        <v>27</v>
      </c>
      <c r="F16" s="140">
        <v>1785</v>
      </c>
      <c r="G16" s="64">
        <v>462</v>
      </c>
      <c r="H16" s="136">
        <f>_xlfn.XLOOKUP(data[[#This Row],[Product]],products[Product],products[Cost per unit])</f>
        <v>13.15</v>
      </c>
      <c r="I16" s="81">
        <f>data[[#This Row],[Cost per unit]]*data[[#This Row],[Units]]</f>
        <v>6075.3</v>
      </c>
      <c r="K16" s="136" t="s">
        <v>36</v>
      </c>
      <c r="L16" s="75">
        <v>9.77</v>
      </c>
    </row>
    <row r="17" spans="3:12" s="1" customFormat="1">
      <c r="C17" s="90" t="s">
        <v>46</v>
      </c>
      <c r="D17" s="136" t="s">
        <v>8</v>
      </c>
      <c r="E17" s="62" t="s">
        <v>32</v>
      </c>
      <c r="F17" s="140">
        <v>3983</v>
      </c>
      <c r="G17" s="64">
        <v>144</v>
      </c>
      <c r="H17" s="136">
        <f>_xlfn.XLOOKUP(data[[#This Row],[Product]],products[Product],products[Cost per unit])</f>
        <v>3.11</v>
      </c>
      <c r="I17" s="81">
        <f>data[[#This Row],[Cost per unit]]*data[[#This Row],[Units]]</f>
        <v>447.84</v>
      </c>
      <c r="K17" s="136" t="s">
        <v>47</v>
      </c>
      <c r="L17" s="75">
        <v>6.49</v>
      </c>
    </row>
    <row r="18" spans="3:12" s="1" customFormat="1">
      <c r="C18" s="90" t="s">
        <v>17</v>
      </c>
      <c r="D18" s="136" t="s">
        <v>33</v>
      </c>
      <c r="E18" s="62" t="s">
        <v>29</v>
      </c>
      <c r="F18" s="140">
        <v>2646</v>
      </c>
      <c r="G18" s="64">
        <v>120</v>
      </c>
      <c r="H18" s="136">
        <f>_xlfn.XLOOKUP(data[[#This Row],[Product]],products[Product],products[Cost per unit])</f>
        <v>8.7899999999999991</v>
      </c>
      <c r="I18" s="81">
        <f>data[[#This Row],[Cost per unit]]*data[[#This Row],[Units]]</f>
        <v>1054.8</v>
      </c>
      <c r="K18" s="136" t="s">
        <v>48</v>
      </c>
      <c r="L18" s="75">
        <v>4.97</v>
      </c>
    </row>
    <row r="19" spans="3:12" s="1" customFormat="1">
      <c r="C19" s="90" t="s">
        <v>45</v>
      </c>
      <c r="D19" s="136" t="s">
        <v>49</v>
      </c>
      <c r="E19" s="62" t="s">
        <v>11</v>
      </c>
      <c r="F19" s="140">
        <v>252</v>
      </c>
      <c r="G19" s="64">
        <v>54</v>
      </c>
      <c r="H19" s="136">
        <f>_xlfn.XLOOKUP(data[[#This Row],[Product]],products[Product],products[Cost per unit])</f>
        <v>9.33</v>
      </c>
      <c r="I19" s="81">
        <f>data[[#This Row],[Cost per unit]]*data[[#This Row],[Units]]</f>
        <v>503.82</v>
      </c>
      <c r="K19" s="136" t="s">
        <v>27</v>
      </c>
      <c r="L19" s="75">
        <v>13.15</v>
      </c>
    </row>
    <row r="20" spans="3:12" s="1" customFormat="1">
      <c r="C20" s="90" t="s">
        <v>46</v>
      </c>
      <c r="D20" s="136" t="s">
        <v>13</v>
      </c>
      <c r="E20" s="62" t="s">
        <v>27</v>
      </c>
      <c r="F20" s="140">
        <v>2464</v>
      </c>
      <c r="G20" s="64">
        <v>234</v>
      </c>
      <c r="H20" s="136">
        <f>_xlfn.XLOOKUP(data[[#This Row],[Product]],products[Product],products[Cost per unit])</f>
        <v>13.15</v>
      </c>
      <c r="I20" s="81">
        <f>data[[#This Row],[Cost per unit]]*data[[#This Row],[Units]]</f>
        <v>3077.1</v>
      </c>
      <c r="K20" s="136" t="s">
        <v>50</v>
      </c>
      <c r="L20" s="75">
        <v>5.6</v>
      </c>
    </row>
    <row r="21" spans="3:12" s="1" customFormat="1">
      <c r="C21" s="90" t="s">
        <v>46</v>
      </c>
      <c r="D21" s="136" t="s">
        <v>13</v>
      </c>
      <c r="E21" s="62" t="s">
        <v>51</v>
      </c>
      <c r="F21" s="140">
        <v>2114</v>
      </c>
      <c r="G21" s="64">
        <v>66</v>
      </c>
      <c r="H21" s="136">
        <f>_xlfn.XLOOKUP(data[[#This Row],[Product]],products[Product],products[Cost per unit])</f>
        <v>7.16</v>
      </c>
      <c r="I21" s="81">
        <f>data[[#This Row],[Cost per unit]]*data[[#This Row],[Units]]</f>
        <v>472.56</v>
      </c>
      <c r="K21" s="136" t="s">
        <v>52</v>
      </c>
      <c r="L21" s="75">
        <v>16.73</v>
      </c>
    </row>
    <row r="22" spans="3:12" s="1" customFormat="1">
      <c r="C22" s="90" t="s">
        <v>25</v>
      </c>
      <c r="D22" s="136" t="s">
        <v>8</v>
      </c>
      <c r="E22" s="62" t="s">
        <v>34</v>
      </c>
      <c r="F22" s="140">
        <v>7693</v>
      </c>
      <c r="G22" s="64">
        <v>87</v>
      </c>
      <c r="H22" s="136">
        <f>_xlfn.XLOOKUP(data[[#This Row],[Product]],products[Product],products[Cost per unit])</f>
        <v>5.79</v>
      </c>
      <c r="I22" s="81">
        <f>data[[#This Row],[Cost per unit]]*data[[#This Row],[Units]]</f>
        <v>503.73</v>
      </c>
      <c r="K22" s="136" t="s">
        <v>53</v>
      </c>
      <c r="L22" s="75">
        <v>10.38</v>
      </c>
    </row>
    <row r="23" spans="3:12" s="1" customFormat="1">
      <c r="C23" s="90" t="s">
        <v>42</v>
      </c>
      <c r="D23" s="136" t="s">
        <v>49</v>
      </c>
      <c r="E23" s="62" t="s">
        <v>41</v>
      </c>
      <c r="F23" s="140">
        <v>15610</v>
      </c>
      <c r="G23" s="64">
        <v>339</v>
      </c>
      <c r="H23" s="136">
        <f>_xlfn.XLOOKUP(data[[#This Row],[Product]],products[Product],products[Cost per unit])</f>
        <v>10.62</v>
      </c>
      <c r="I23" s="81">
        <f>data[[#This Row],[Cost per unit]]*data[[#This Row],[Units]]</f>
        <v>3600.18</v>
      </c>
      <c r="K23" s="136" t="s">
        <v>51</v>
      </c>
      <c r="L23" s="75">
        <v>7.16</v>
      </c>
    </row>
    <row r="24" spans="3:12" s="1" customFormat="1">
      <c r="C24" s="90" t="s">
        <v>20</v>
      </c>
      <c r="D24" s="136" t="s">
        <v>49</v>
      </c>
      <c r="E24" s="62" t="s">
        <v>36</v>
      </c>
      <c r="F24" s="140">
        <v>336</v>
      </c>
      <c r="G24" s="64">
        <v>144</v>
      </c>
      <c r="H24" s="136">
        <f>_xlfn.XLOOKUP(data[[#This Row],[Product]],products[Product],products[Cost per unit])</f>
        <v>9.77</v>
      </c>
      <c r="I24" s="81">
        <f>data[[#This Row],[Cost per unit]]*data[[#This Row],[Units]]</f>
        <v>1406.8799999999999</v>
      </c>
      <c r="K24" s="136" t="s">
        <v>9</v>
      </c>
      <c r="L24" s="75">
        <v>14.49</v>
      </c>
    </row>
    <row r="25" spans="3:12" s="1" customFormat="1">
      <c r="C25" s="90" t="s">
        <v>45</v>
      </c>
      <c r="D25" s="136" t="s">
        <v>26</v>
      </c>
      <c r="E25" s="62" t="s">
        <v>41</v>
      </c>
      <c r="F25" s="140">
        <v>9443</v>
      </c>
      <c r="G25" s="64">
        <v>162</v>
      </c>
      <c r="H25" s="136">
        <f>_xlfn.XLOOKUP(data[[#This Row],[Product]],products[Product],products[Cost per unit])</f>
        <v>10.62</v>
      </c>
      <c r="I25" s="81">
        <f>data[[#This Row],[Cost per unit]]*data[[#This Row],[Units]]</f>
        <v>1720.4399999999998</v>
      </c>
      <c r="K25" s="136" t="s">
        <v>34</v>
      </c>
      <c r="L25" s="75">
        <v>5.79</v>
      </c>
    </row>
    <row r="26" spans="3:12" s="1" customFormat="1">
      <c r="C26" s="90" t="s">
        <v>17</v>
      </c>
      <c r="D26" s="136" t="s">
        <v>49</v>
      </c>
      <c r="E26" s="62" t="s">
        <v>47</v>
      </c>
      <c r="F26" s="140">
        <v>8155</v>
      </c>
      <c r="G26" s="64">
        <v>90</v>
      </c>
      <c r="H26" s="136">
        <f>_xlfn.XLOOKUP(data[[#This Row],[Product]],products[Product],products[Cost per unit])</f>
        <v>6.49</v>
      </c>
      <c r="I26" s="81">
        <f>data[[#This Row],[Cost per unit]]*data[[#This Row],[Units]]</f>
        <v>584.1</v>
      </c>
      <c r="K26" s="136" t="s">
        <v>14</v>
      </c>
      <c r="L26" s="75">
        <v>8.65</v>
      </c>
    </row>
    <row r="27" spans="3:12" s="1" customFormat="1" ht="15" thickBot="1">
      <c r="C27" s="90" t="s">
        <v>12</v>
      </c>
      <c r="D27" s="136" t="s">
        <v>33</v>
      </c>
      <c r="E27" s="62" t="s">
        <v>47</v>
      </c>
      <c r="F27" s="140">
        <v>1701</v>
      </c>
      <c r="G27" s="64">
        <v>234</v>
      </c>
      <c r="H27" s="136">
        <f>_xlfn.XLOOKUP(data[[#This Row],[Product]],products[Product],products[Cost per unit])</f>
        <v>6.49</v>
      </c>
      <c r="I27" s="81">
        <f>data[[#This Row],[Cost per unit]]*data[[#This Row],[Units]]</f>
        <v>1518.66</v>
      </c>
      <c r="K27" s="137" t="s">
        <v>30</v>
      </c>
      <c r="L27" s="75">
        <v>12.37</v>
      </c>
    </row>
    <row r="28" spans="3:12" s="1" customFormat="1">
      <c r="C28" s="90" t="s">
        <v>54</v>
      </c>
      <c r="D28" s="136" t="s">
        <v>33</v>
      </c>
      <c r="E28" s="62" t="s">
        <v>36</v>
      </c>
      <c r="F28" s="140">
        <v>2205</v>
      </c>
      <c r="G28" s="64">
        <v>141</v>
      </c>
      <c r="H28" s="136">
        <f>_xlfn.XLOOKUP(data[[#This Row],[Product]],products[Product],products[Cost per unit])</f>
        <v>9.77</v>
      </c>
      <c r="I28" s="81">
        <f>data[[#This Row],[Cost per unit]]*data[[#This Row],[Units]]</f>
        <v>1377.57</v>
      </c>
    </row>
    <row r="29" spans="3:12" s="1" customFormat="1">
      <c r="C29" s="90" t="s">
        <v>12</v>
      </c>
      <c r="D29" s="136" t="s">
        <v>8</v>
      </c>
      <c r="E29" s="62" t="s">
        <v>38</v>
      </c>
      <c r="F29" s="140">
        <v>1771</v>
      </c>
      <c r="G29" s="64">
        <v>204</v>
      </c>
      <c r="H29" s="136">
        <f>_xlfn.XLOOKUP(data[[#This Row],[Product]],products[Product],products[Cost per unit])</f>
        <v>7.64</v>
      </c>
      <c r="I29" s="81">
        <f>data[[#This Row],[Cost per unit]]*data[[#This Row],[Units]]</f>
        <v>1558.56</v>
      </c>
    </row>
    <row r="30" spans="3:12" s="1" customFormat="1">
      <c r="C30" s="90" t="s">
        <v>20</v>
      </c>
      <c r="D30" s="136" t="s">
        <v>13</v>
      </c>
      <c r="E30" s="62" t="s">
        <v>24</v>
      </c>
      <c r="F30" s="140">
        <v>2114</v>
      </c>
      <c r="G30" s="64">
        <v>186</v>
      </c>
      <c r="H30" s="136">
        <f>_xlfn.XLOOKUP(data[[#This Row],[Product]],products[Product],products[Cost per unit])</f>
        <v>11.73</v>
      </c>
      <c r="I30" s="81">
        <f>data[[#This Row],[Cost per unit]]*data[[#This Row],[Units]]</f>
        <v>2181.7800000000002</v>
      </c>
    </row>
    <row r="31" spans="3:12" s="1" customFormat="1">
      <c r="C31" s="90" t="s">
        <v>20</v>
      </c>
      <c r="D31" s="136" t="s">
        <v>21</v>
      </c>
      <c r="E31" s="62" t="s">
        <v>11</v>
      </c>
      <c r="F31" s="140">
        <v>10311</v>
      </c>
      <c r="G31" s="64">
        <v>231</v>
      </c>
      <c r="H31" s="136">
        <f>_xlfn.XLOOKUP(data[[#This Row],[Product]],products[Product],products[Cost per unit])</f>
        <v>9.33</v>
      </c>
      <c r="I31" s="81">
        <f>data[[#This Row],[Cost per unit]]*data[[#This Row],[Units]]</f>
        <v>2155.23</v>
      </c>
    </row>
    <row r="32" spans="3:12" s="1" customFormat="1">
      <c r="C32" s="90" t="s">
        <v>46</v>
      </c>
      <c r="D32" s="136" t="s">
        <v>26</v>
      </c>
      <c r="E32" s="62" t="s">
        <v>29</v>
      </c>
      <c r="F32" s="140">
        <v>21</v>
      </c>
      <c r="G32" s="64">
        <v>168</v>
      </c>
      <c r="H32" s="136">
        <f>_xlfn.XLOOKUP(data[[#This Row],[Product]],products[Product],products[Cost per unit])</f>
        <v>8.7899999999999991</v>
      </c>
      <c r="I32" s="81">
        <f>data[[#This Row],[Cost per unit]]*data[[#This Row],[Units]]</f>
        <v>1476.7199999999998</v>
      </c>
    </row>
    <row r="33" spans="3:9" s="1" customFormat="1">
      <c r="C33" s="90" t="s">
        <v>54</v>
      </c>
      <c r="D33" s="136" t="s">
        <v>13</v>
      </c>
      <c r="E33" s="62" t="s">
        <v>41</v>
      </c>
      <c r="F33" s="140">
        <v>1974</v>
      </c>
      <c r="G33" s="64">
        <v>195</v>
      </c>
      <c r="H33" s="136">
        <f>_xlfn.XLOOKUP(data[[#This Row],[Product]],products[Product],products[Cost per unit])</f>
        <v>10.62</v>
      </c>
      <c r="I33" s="81">
        <f>data[[#This Row],[Cost per unit]]*data[[#This Row],[Units]]</f>
        <v>2070.8999999999996</v>
      </c>
    </row>
    <row r="34" spans="3:9" s="1" customFormat="1">
      <c r="C34" s="90" t="s">
        <v>42</v>
      </c>
      <c r="D34" s="136" t="s">
        <v>21</v>
      </c>
      <c r="E34" s="62" t="s">
        <v>47</v>
      </c>
      <c r="F34" s="140">
        <v>6314</v>
      </c>
      <c r="G34" s="64">
        <v>15</v>
      </c>
      <c r="H34" s="136">
        <f>_xlfn.XLOOKUP(data[[#This Row],[Product]],products[Product],products[Cost per unit])</f>
        <v>6.49</v>
      </c>
      <c r="I34" s="81">
        <f>data[[#This Row],[Cost per unit]]*data[[#This Row],[Units]]</f>
        <v>97.350000000000009</v>
      </c>
    </row>
    <row r="35" spans="3:9" s="1" customFormat="1">
      <c r="C35" s="90" t="s">
        <v>54</v>
      </c>
      <c r="D35" s="136" t="s">
        <v>8</v>
      </c>
      <c r="E35" s="62" t="s">
        <v>47</v>
      </c>
      <c r="F35" s="140">
        <v>4683</v>
      </c>
      <c r="G35" s="64">
        <v>30</v>
      </c>
      <c r="H35" s="136">
        <f>_xlfn.XLOOKUP(data[[#This Row],[Product]],products[Product],products[Cost per unit])</f>
        <v>6.49</v>
      </c>
      <c r="I35" s="81">
        <f>data[[#This Row],[Cost per unit]]*data[[#This Row],[Units]]</f>
        <v>194.70000000000002</v>
      </c>
    </row>
    <row r="36" spans="3:9" s="1" customFormat="1">
      <c r="C36" s="90" t="s">
        <v>20</v>
      </c>
      <c r="D36" s="136" t="s">
        <v>8</v>
      </c>
      <c r="E36" s="62" t="s">
        <v>48</v>
      </c>
      <c r="F36" s="140">
        <v>6398</v>
      </c>
      <c r="G36" s="64">
        <v>102</v>
      </c>
      <c r="H36" s="136">
        <f>_xlfn.XLOOKUP(data[[#This Row],[Product]],products[Product],products[Cost per unit])</f>
        <v>4.97</v>
      </c>
      <c r="I36" s="81">
        <f>data[[#This Row],[Cost per unit]]*data[[#This Row],[Units]]</f>
        <v>506.94</v>
      </c>
    </row>
    <row r="37" spans="3:9" s="1" customFormat="1">
      <c r="C37" s="90" t="s">
        <v>45</v>
      </c>
      <c r="D37" s="136" t="s">
        <v>13</v>
      </c>
      <c r="E37" s="62" t="s">
        <v>38</v>
      </c>
      <c r="F37" s="140">
        <v>553</v>
      </c>
      <c r="G37" s="64">
        <v>15</v>
      </c>
      <c r="H37" s="136">
        <f>_xlfn.XLOOKUP(data[[#This Row],[Product]],products[Product],products[Cost per unit])</f>
        <v>7.64</v>
      </c>
      <c r="I37" s="81">
        <f>data[[#This Row],[Cost per unit]]*data[[#This Row],[Units]]</f>
        <v>114.6</v>
      </c>
    </row>
    <row r="38" spans="3:9" s="1" customFormat="1">
      <c r="C38" s="90" t="s">
        <v>12</v>
      </c>
      <c r="D38" s="136" t="s">
        <v>26</v>
      </c>
      <c r="E38" s="62" t="s">
        <v>9</v>
      </c>
      <c r="F38" s="140">
        <v>7021</v>
      </c>
      <c r="G38" s="64">
        <v>183</v>
      </c>
      <c r="H38" s="136">
        <f>_xlfn.XLOOKUP(data[[#This Row],[Product]],products[Product],products[Cost per unit])</f>
        <v>14.49</v>
      </c>
      <c r="I38" s="81">
        <f>data[[#This Row],[Cost per unit]]*data[[#This Row],[Units]]</f>
        <v>2651.67</v>
      </c>
    </row>
    <row r="39" spans="3:9" s="1" customFormat="1">
      <c r="C39" s="90" t="s">
        <v>7</v>
      </c>
      <c r="D39" s="136" t="s">
        <v>26</v>
      </c>
      <c r="E39" s="62" t="s">
        <v>36</v>
      </c>
      <c r="F39" s="140">
        <v>5817</v>
      </c>
      <c r="G39" s="64">
        <v>12</v>
      </c>
      <c r="H39" s="136">
        <f>_xlfn.XLOOKUP(data[[#This Row],[Product]],products[Product],products[Cost per unit])</f>
        <v>9.77</v>
      </c>
      <c r="I39" s="81">
        <f>data[[#This Row],[Cost per unit]]*data[[#This Row],[Units]]</f>
        <v>117.24</v>
      </c>
    </row>
    <row r="40" spans="3:9" s="1" customFormat="1">
      <c r="C40" s="90" t="s">
        <v>20</v>
      </c>
      <c r="D40" s="136" t="s">
        <v>26</v>
      </c>
      <c r="E40" s="62" t="s">
        <v>16</v>
      </c>
      <c r="F40" s="140">
        <v>3976</v>
      </c>
      <c r="G40" s="64">
        <v>72</v>
      </c>
      <c r="H40" s="136">
        <f>_xlfn.XLOOKUP(data[[#This Row],[Product]],products[Product],products[Cost per unit])</f>
        <v>11.7</v>
      </c>
      <c r="I40" s="81">
        <f>data[[#This Row],[Cost per unit]]*data[[#This Row],[Units]]</f>
        <v>842.4</v>
      </c>
    </row>
    <row r="41" spans="3:9" s="1" customFormat="1">
      <c r="C41" s="90" t="s">
        <v>25</v>
      </c>
      <c r="D41" s="136" t="s">
        <v>33</v>
      </c>
      <c r="E41" s="62" t="s">
        <v>52</v>
      </c>
      <c r="F41" s="140">
        <v>1134</v>
      </c>
      <c r="G41" s="64">
        <v>282</v>
      </c>
      <c r="H41" s="136">
        <f>_xlfn.XLOOKUP(data[[#This Row],[Product]],products[Product],products[Cost per unit])</f>
        <v>16.73</v>
      </c>
      <c r="I41" s="81">
        <f>data[[#This Row],[Cost per unit]]*data[[#This Row],[Units]]</f>
        <v>4717.8599999999997</v>
      </c>
    </row>
    <row r="42" spans="3:9" s="1" customFormat="1">
      <c r="C42" s="90" t="s">
        <v>45</v>
      </c>
      <c r="D42" s="136" t="s">
        <v>26</v>
      </c>
      <c r="E42" s="62" t="s">
        <v>53</v>
      </c>
      <c r="F42" s="140">
        <v>6027</v>
      </c>
      <c r="G42" s="64">
        <v>144</v>
      </c>
      <c r="H42" s="136">
        <f>_xlfn.XLOOKUP(data[[#This Row],[Product]],products[Product],products[Cost per unit])</f>
        <v>10.38</v>
      </c>
      <c r="I42" s="81">
        <f>data[[#This Row],[Cost per unit]]*data[[#This Row],[Units]]</f>
        <v>1494.72</v>
      </c>
    </row>
    <row r="43" spans="3:9" s="1" customFormat="1">
      <c r="C43" s="90" t="s">
        <v>25</v>
      </c>
      <c r="D43" s="136" t="s">
        <v>8</v>
      </c>
      <c r="E43" s="62" t="s">
        <v>29</v>
      </c>
      <c r="F43" s="140">
        <v>1904</v>
      </c>
      <c r="G43" s="64">
        <v>405</v>
      </c>
      <c r="H43" s="136">
        <f>_xlfn.XLOOKUP(data[[#This Row],[Product]],products[Product],products[Cost per unit])</f>
        <v>8.7899999999999991</v>
      </c>
      <c r="I43" s="81">
        <f>data[[#This Row],[Cost per unit]]*data[[#This Row],[Units]]</f>
        <v>3559.95</v>
      </c>
    </row>
    <row r="44" spans="3:9" s="1" customFormat="1">
      <c r="C44" s="90" t="s">
        <v>39</v>
      </c>
      <c r="D44" s="136" t="s">
        <v>49</v>
      </c>
      <c r="E44" s="62" t="s">
        <v>14</v>
      </c>
      <c r="F44" s="140">
        <v>3262</v>
      </c>
      <c r="G44" s="64">
        <v>75</v>
      </c>
      <c r="H44" s="136">
        <f>_xlfn.XLOOKUP(data[[#This Row],[Product]],products[Product],products[Cost per unit])</f>
        <v>8.65</v>
      </c>
      <c r="I44" s="81">
        <f>data[[#This Row],[Cost per unit]]*data[[#This Row],[Units]]</f>
        <v>648.75</v>
      </c>
    </row>
    <row r="45" spans="3:9" s="1" customFormat="1">
      <c r="C45" s="90" t="s">
        <v>7</v>
      </c>
      <c r="D45" s="136" t="s">
        <v>49</v>
      </c>
      <c r="E45" s="62" t="s">
        <v>52</v>
      </c>
      <c r="F45" s="140">
        <v>2289</v>
      </c>
      <c r="G45" s="64">
        <v>135</v>
      </c>
      <c r="H45" s="136">
        <f>_xlfn.XLOOKUP(data[[#This Row],[Product]],products[Product],products[Cost per unit])</f>
        <v>16.73</v>
      </c>
      <c r="I45" s="81">
        <f>data[[#This Row],[Cost per unit]]*data[[#This Row],[Units]]</f>
        <v>2258.5500000000002</v>
      </c>
    </row>
    <row r="46" spans="3:9" s="1" customFormat="1">
      <c r="C46" s="90" t="s">
        <v>42</v>
      </c>
      <c r="D46" s="136" t="s">
        <v>49</v>
      </c>
      <c r="E46" s="62" t="s">
        <v>52</v>
      </c>
      <c r="F46" s="140">
        <v>6986</v>
      </c>
      <c r="G46" s="64">
        <v>21</v>
      </c>
      <c r="H46" s="136">
        <f>_xlfn.XLOOKUP(data[[#This Row],[Product]],products[Product],products[Cost per unit])</f>
        <v>16.73</v>
      </c>
      <c r="I46" s="81">
        <f>data[[#This Row],[Cost per unit]]*data[[#This Row],[Units]]</f>
        <v>351.33</v>
      </c>
    </row>
    <row r="47" spans="3:9" s="1" customFormat="1">
      <c r="C47" s="90" t="s">
        <v>45</v>
      </c>
      <c r="D47" s="136" t="s">
        <v>33</v>
      </c>
      <c r="E47" s="62" t="s">
        <v>47</v>
      </c>
      <c r="F47" s="140">
        <v>4417</v>
      </c>
      <c r="G47" s="64">
        <v>153</v>
      </c>
      <c r="H47" s="136">
        <f>_xlfn.XLOOKUP(data[[#This Row],[Product]],products[Product],products[Cost per unit])</f>
        <v>6.49</v>
      </c>
      <c r="I47" s="81">
        <f>data[[#This Row],[Cost per unit]]*data[[#This Row],[Units]]</f>
        <v>992.97</v>
      </c>
    </row>
    <row r="48" spans="3:9" s="1" customFormat="1">
      <c r="C48" s="90" t="s">
        <v>25</v>
      </c>
      <c r="D48" s="136" t="s">
        <v>49</v>
      </c>
      <c r="E48" s="62" t="s">
        <v>24</v>
      </c>
      <c r="F48" s="140">
        <v>1442</v>
      </c>
      <c r="G48" s="64">
        <v>15</v>
      </c>
      <c r="H48" s="136">
        <f>_xlfn.XLOOKUP(data[[#This Row],[Product]],products[Product],products[Cost per unit])</f>
        <v>11.73</v>
      </c>
      <c r="I48" s="81">
        <f>data[[#This Row],[Cost per unit]]*data[[#This Row],[Units]]</f>
        <v>175.95000000000002</v>
      </c>
    </row>
    <row r="49" spans="3:9" s="1" customFormat="1">
      <c r="C49" s="90" t="s">
        <v>46</v>
      </c>
      <c r="D49" s="136" t="s">
        <v>13</v>
      </c>
      <c r="E49" s="62" t="s">
        <v>16</v>
      </c>
      <c r="F49" s="140">
        <v>2415</v>
      </c>
      <c r="G49" s="64">
        <v>255</v>
      </c>
      <c r="H49" s="136">
        <f>_xlfn.XLOOKUP(data[[#This Row],[Product]],products[Product],products[Cost per unit])</f>
        <v>11.7</v>
      </c>
      <c r="I49" s="81">
        <f>data[[#This Row],[Cost per unit]]*data[[#This Row],[Units]]</f>
        <v>2983.5</v>
      </c>
    </row>
    <row r="50" spans="3:9" s="1" customFormat="1">
      <c r="C50" s="90" t="s">
        <v>45</v>
      </c>
      <c r="D50" s="136" t="s">
        <v>8</v>
      </c>
      <c r="E50" s="62" t="s">
        <v>38</v>
      </c>
      <c r="F50" s="140">
        <v>238</v>
      </c>
      <c r="G50" s="64">
        <v>18</v>
      </c>
      <c r="H50" s="136">
        <f>_xlfn.XLOOKUP(data[[#This Row],[Product]],products[Product],products[Cost per unit])</f>
        <v>7.64</v>
      </c>
      <c r="I50" s="81">
        <f>data[[#This Row],[Cost per unit]]*data[[#This Row],[Units]]</f>
        <v>137.51999999999998</v>
      </c>
    </row>
    <row r="51" spans="3:9" s="1" customFormat="1">
      <c r="C51" s="90" t="s">
        <v>25</v>
      </c>
      <c r="D51" s="136" t="s">
        <v>8</v>
      </c>
      <c r="E51" s="62" t="s">
        <v>47</v>
      </c>
      <c r="F51" s="140">
        <v>4949</v>
      </c>
      <c r="G51" s="64">
        <v>189</v>
      </c>
      <c r="H51" s="136">
        <f>_xlfn.XLOOKUP(data[[#This Row],[Product]],products[Product],products[Cost per unit])</f>
        <v>6.49</v>
      </c>
      <c r="I51" s="81">
        <f>data[[#This Row],[Cost per unit]]*data[[#This Row],[Units]]</f>
        <v>1226.6100000000001</v>
      </c>
    </row>
    <row r="52" spans="3:9" s="1" customFormat="1">
      <c r="C52" s="90" t="s">
        <v>42</v>
      </c>
      <c r="D52" s="136" t="s">
        <v>33</v>
      </c>
      <c r="E52" s="62" t="s">
        <v>14</v>
      </c>
      <c r="F52" s="140">
        <v>5075</v>
      </c>
      <c r="G52" s="64">
        <v>21</v>
      </c>
      <c r="H52" s="136">
        <f>_xlfn.XLOOKUP(data[[#This Row],[Product]],products[Product],products[Cost per unit])</f>
        <v>8.65</v>
      </c>
      <c r="I52" s="81">
        <f>data[[#This Row],[Cost per unit]]*data[[#This Row],[Units]]</f>
        <v>181.65</v>
      </c>
    </row>
    <row r="53" spans="3:9" s="1" customFormat="1">
      <c r="C53" s="90" t="s">
        <v>46</v>
      </c>
      <c r="D53" s="136" t="s">
        <v>21</v>
      </c>
      <c r="E53" s="62" t="s">
        <v>29</v>
      </c>
      <c r="F53" s="140">
        <v>9198</v>
      </c>
      <c r="G53" s="64">
        <v>36</v>
      </c>
      <c r="H53" s="136">
        <f>_xlfn.XLOOKUP(data[[#This Row],[Product]],products[Product],products[Cost per unit])</f>
        <v>8.7899999999999991</v>
      </c>
      <c r="I53" s="81">
        <f>data[[#This Row],[Cost per unit]]*data[[#This Row],[Units]]</f>
        <v>316.43999999999994</v>
      </c>
    </row>
    <row r="54" spans="3:9" s="1" customFormat="1">
      <c r="C54" s="90" t="s">
        <v>25</v>
      </c>
      <c r="D54" s="136" t="s">
        <v>49</v>
      </c>
      <c r="E54" s="62" t="s">
        <v>51</v>
      </c>
      <c r="F54" s="140">
        <v>3339</v>
      </c>
      <c r="G54" s="64">
        <v>75</v>
      </c>
      <c r="H54" s="136">
        <f>_xlfn.XLOOKUP(data[[#This Row],[Product]],products[Product],products[Cost per unit])</f>
        <v>7.16</v>
      </c>
      <c r="I54" s="81">
        <f>data[[#This Row],[Cost per unit]]*data[[#This Row],[Units]]</f>
        <v>537</v>
      </c>
    </row>
    <row r="55" spans="3:9" s="1" customFormat="1">
      <c r="C55" s="90" t="s">
        <v>7</v>
      </c>
      <c r="D55" s="136" t="s">
        <v>49</v>
      </c>
      <c r="E55" s="62" t="s">
        <v>32</v>
      </c>
      <c r="F55" s="140">
        <v>5019</v>
      </c>
      <c r="G55" s="64">
        <v>156</v>
      </c>
      <c r="H55" s="136">
        <f>_xlfn.XLOOKUP(data[[#This Row],[Product]],products[Product],products[Cost per unit])</f>
        <v>3.11</v>
      </c>
      <c r="I55" s="81">
        <f>data[[#This Row],[Cost per unit]]*data[[#This Row],[Units]]</f>
        <v>485.15999999999997</v>
      </c>
    </row>
    <row r="56" spans="3:9" s="1" customFormat="1">
      <c r="C56" s="90" t="s">
        <v>42</v>
      </c>
      <c r="D56" s="136" t="s">
        <v>21</v>
      </c>
      <c r="E56" s="62" t="s">
        <v>29</v>
      </c>
      <c r="F56" s="140">
        <v>16184</v>
      </c>
      <c r="G56" s="64">
        <v>39</v>
      </c>
      <c r="H56" s="136">
        <f>_xlfn.XLOOKUP(data[[#This Row],[Product]],products[Product],products[Cost per unit])</f>
        <v>8.7899999999999991</v>
      </c>
      <c r="I56" s="81">
        <f>data[[#This Row],[Cost per unit]]*data[[#This Row],[Units]]</f>
        <v>342.80999999999995</v>
      </c>
    </row>
    <row r="57" spans="3:9" s="1" customFormat="1">
      <c r="C57" s="90" t="s">
        <v>25</v>
      </c>
      <c r="D57" s="136" t="s">
        <v>21</v>
      </c>
      <c r="E57" s="62" t="s">
        <v>44</v>
      </c>
      <c r="F57" s="140">
        <v>497</v>
      </c>
      <c r="G57" s="64">
        <v>63</v>
      </c>
      <c r="H57" s="136">
        <f>_xlfn.XLOOKUP(data[[#This Row],[Product]],products[Product],products[Cost per unit])</f>
        <v>9</v>
      </c>
      <c r="I57" s="81">
        <f>data[[#This Row],[Cost per unit]]*data[[#This Row],[Units]]</f>
        <v>567</v>
      </c>
    </row>
    <row r="58" spans="3:9" s="1" customFormat="1">
      <c r="C58" s="90" t="s">
        <v>45</v>
      </c>
      <c r="D58" s="136" t="s">
        <v>21</v>
      </c>
      <c r="E58" s="62" t="s">
        <v>51</v>
      </c>
      <c r="F58" s="140">
        <v>8211</v>
      </c>
      <c r="G58" s="64">
        <v>75</v>
      </c>
      <c r="H58" s="136">
        <f>_xlfn.XLOOKUP(data[[#This Row],[Product]],products[Product],products[Cost per unit])</f>
        <v>7.16</v>
      </c>
      <c r="I58" s="81">
        <f>data[[#This Row],[Cost per unit]]*data[[#This Row],[Units]]</f>
        <v>537</v>
      </c>
    </row>
    <row r="59" spans="3:9" s="1" customFormat="1">
      <c r="C59" s="90" t="s">
        <v>45</v>
      </c>
      <c r="D59" s="136" t="s">
        <v>33</v>
      </c>
      <c r="E59" s="62" t="s">
        <v>53</v>
      </c>
      <c r="F59" s="140">
        <v>6580</v>
      </c>
      <c r="G59" s="64">
        <v>183</v>
      </c>
      <c r="H59" s="136">
        <f>_xlfn.XLOOKUP(data[[#This Row],[Product]],products[Product],products[Cost per unit])</f>
        <v>10.38</v>
      </c>
      <c r="I59" s="81">
        <f>data[[#This Row],[Cost per unit]]*data[[#This Row],[Units]]</f>
        <v>1899.5400000000002</v>
      </c>
    </row>
    <row r="60" spans="3:9" s="1" customFormat="1">
      <c r="C60" s="90" t="s">
        <v>20</v>
      </c>
      <c r="D60" s="136" t="s">
        <v>13</v>
      </c>
      <c r="E60" s="62" t="s">
        <v>11</v>
      </c>
      <c r="F60" s="140">
        <v>4760</v>
      </c>
      <c r="G60" s="64">
        <v>69</v>
      </c>
      <c r="H60" s="136">
        <f>_xlfn.XLOOKUP(data[[#This Row],[Product]],products[Product],products[Cost per unit])</f>
        <v>9.33</v>
      </c>
      <c r="I60" s="81">
        <f>data[[#This Row],[Cost per unit]]*data[[#This Row],[Units]]</f>
        <v>643.77</v>
      </c>
    </row>
    <row r="61" spans="3:9" s="1" customFormat="1">
      <c r="C61" s="90" t="s">
        <v>7</v>
      </c>
      <c r="D61" s="136" t="s">
        <v>21</v>
      </c>
      <c r="E61" s="62" t="s">
        <v>27</v>
      </c>
      <c r="F61" s="140">
        <v>5439</v>
      </c>
      <c r="G61" s="64">
        <v>30</v>
      </c>
      <c r="H61" s="136">
        <f>_xlfn.XLOOKUP(data[[#This Row],[Product]],products[Product],products[Cost per unit])</f>
        <v>13.15</v>
      </c>
      <c r="I61" s="81">
        <f>data[[#This Row],[Cost per unit]]*data[[#This Row],[Units]]</f>
        <v>394.5</v>
      </c>
    </row>
    <row r="62" spans="3:9" s="1" customFormat="1">
      <c r="C62" s="90" t="s">
        <v>20</v>
      </c>
      <c r="D62" s="136" t="s">
        <v>49</v>
      </c>
      <c r="E62" s="62" t="s">
        <v>32</v>
      </c>
      <c r="F62" s="140">
        <v>1463</v>
      </c>
      <c r="G62" s="64">
        <v>39</v>
      </c>
      <c r="H62" s="136">
        <f>_xlfn.XLOOKUP(data[[#This Row],[Product]],products[Product],products[Cost per unit])</f>
        <v>3.11</v>
      </c>
      <c r="I62" s="81">
        <f>data[[#This Row],[Cost per unit]]*data[[#This Row],[Units]]</f>
        <v>121.28999999999999</v>
      </c>
    </row>
    <row r="63" spans="3:9" s="1" customFormat="1">
      <c r="C63" s="90" t="s">
        <v>46</v>
      </c>
      <c r="D63" s="136" t="s">
        <v>49</v>
      </c>
      <c r="E63" s="62" t="s">
        <v>14</v>
      </c>
      <c r="F63" s="140">
        <v>7777</v>
      </c>
      <c r="G63" s="64">
        <v>504</v>
      </c>
      <c r="H63" s="136">
        <f>_xlfn.XLOOKUP(data[[#This Row],[Product]],products[Product],products[Cost per unit])</f>
        <v>8.65</v>
      </c>
      <c r="I63" s="81">
        <f>data[[#This Row],[Cost per unit]]*data[[#This Row],[Units]]</f>
        <v>4359.6000000000004</v>
      </c>
    </row>
    <row r="64" spans="3:9" s="1" customFormat="1">
      <c r="C64" s="90" t="s">
        <v>17</v>
      </c>
      <c r="D64" s="136" t="s">
        <v>8</v>
      </c>
      <c r="E64" s="62" t="s">
        <v>51</v>
      </c>
      <c r="F64" s="140">
        <v>1085</v>
      </c>
      <c r="G64" s="64">
        <v>273</v>
      </c>
      <c r="H64" s="136">
        <f>_xlfn.XLOOKUP(data[[#This Row],[Product]],products[Product],products[Cost per unit])</f>
        <v>7.16</v>
      </c>
      <c r="I64" s="81">
        <f>data[[#This Row],[Cost per unit]]*data[[#This Row],[Units]]</f>
        <v>1954.68</v>
      </c>
    </row>
    <row r="65" spans="3:9" s="1" customFormat="1">
      <c r="C65" s="90" t="s">
        <v>42</v>
      </c>
      <c r="D65" s="136" t="s">
        <v>8</v>
      </c>
      <c r="E65" s="62" t="s">
        <v>34</v>
      </c>
      <c r="F65" s="140">
        <v>182</v>
      </c>
      <c r="G65" s="64">
        <v>48</v>
      </c>
      <c r="H65" s="136">
        <f>_xlfn.XLOOKUP(data[[#This Row],[Product]],products[Product],products[Cost per unit])</f>
        <v>5.79</v>
      </c>
      <c r="I65" s="81">
        <f>data[[#This Row],[Cost per unit]]*data[[#This Row],[Units]]</f>
        <v>277.92</v>
      </c>
    </row>
    <row r="66" spans="3:9" s="1" customFormat="1">
      <c r="C66" s="90" t="s">
        <v>25</v>
      </c>
      <c r="D66" s="136" t="s">
        <v>49</v>
      </c>
      <c r="E66" s="62" t="s">
        <v>52</v>
      </c>
      <c r="F66" s="140">
        <v>4242</v>
      </c>
      <c r="G66" s="64">
        <v>207</v>
      </c>
      <c r="H66" s="136">
        <f>_xlfn.XLOOKUP(data[[#This Row],[Product]],products[Product],products[Cost per unit])</f>
        <v>16.73</v>
      </c>
      <c r="I66" s="81">
        <f>data[[#This Row],[Cost per unit]]*data[[#This Row],[Units]]</f>
        <v>3463.11</v>
      </c>
    </row>
    <row r="67" spans="3:9" s="1" customFormat="1">
      <c r="C67" s="90" t="s">
        <v>25</v>
      </c>
      <c r="D67" s="136" t="s">
        <v>21</v>
      </c>
      <c r="E67" s="62" t="s">
        <v>14</v>
      </c>
      <c r="F67" s="140">
        <v>6118</v>
      </c>
      <c r="G67" s="64">
        <v>9</v>
      </c>
      <c r="H67" s="136">
        <f>_xlfn.XLOOKUP(data[[#This Row],[Product]],products[Product],products[Cost per unit])</f>
        <v>8.65</v>
      </c>
      <c r="I67" s="81">
        <f>data[[#This Row],[Cost per unit]]*data[[#This Row],[Units]]</f>
        <v>77.850000000000009</v>
      </c>
    </row>
    <row r="68" spans="3:9" s="1" customFormat="1">
      <c r="C68" s="90" t="s">
        <v>54</v>
      </c>
      <c r="D68" s="136" t="s">
        <v>21</v>
      </c>
      <c r="E68" s="62" t="s">
        <v>47</v>
      </c>
      <c r="F68" s="140">
        <v>2317</v>
      </c>
      <c r="G68" s="64">
        <v>261</v>
      </c>
      <c r="H68" s="136">
        <f>_xlfn.XLOOKUP(data[[#This Row],[Product]],products[Product],products[Cost per unit])</f>
        <v>6.49</v>
      </c>
      <c r="I68" s="81">
        <f>data[[#This Row],[Cost per unit]]*data[[#This Row],[Units]]</f>
        <v>1693.89</v>
      </c>
    </row>
    <row r="69" spans="3:9" s="1" customFormat="1">
      <c r="C69" s="90" t="s">
        <v>25</v>
      </c>
      <c r="D69" s="136" t="s">
        <v>33</v>
      </c>
      <c r="E69" s="62" t="s">
        <v>29</v>
      </c>
      <c r="F69" s="140">
        <v>938</v>
      </c>
      <c r="G69" s="64">
        <v>6</v>
      </c>
      <c r="H69" s="136">
        <f>_xlfn.XLOOKUP(data[[#This Row],[Product]],products[Product],products[Cost per unit])</f>
        <v>8.7899999999999991</v>
      </c>
      <c r="I69" s="81">
        <f>data[[#This Row],[Cost per unit]]*data[[#This Row],[Units]]</f>
        <v>52.739999999999995</v>
      </c>
    </row>
    <row r="70" spans="3:9" s="1" customFormat="1">
      <c r="C70" s="90" t="s">
        <v>12</v>
      </c>
      <c r="D70" s="136" t="s">
        <v>8</v>
      </c>
      <c r="E70" s="62" t="s">
        <v>24</v>
      </c>
      <c r="F70" s="140">
        <v>9709</v>
      </c>
      <c r="G70" s="64">
        <v>30</v>
      </c>
      <c r="H70" s="136">
        <f>_xlfn.XLOOKUP(data[[#This Row],[Product]],products[Product],products[Cost per unit])</f>
        <v>11.73</v>
      </c>
      <c r="I70" s="81">
        <f>data[[#This Row],[Cost per unit]]*data[[#This Row],[Units]]</f>
        <v>351.90000000000003</v>
      </c>
    </row>
    <row r="71" spans="3:9" s="1" customFormat="1">
      <c r="C71" s="90" t="s">
        <v>39</v>
      </c>
      <c r="D71" s="136" t="s">
        <v>49</v>
      </c>
      <c r="E71" s="62" t="s">
        <v>41</v>
      </c>
      <c r="F71" s="140">
        <v>2205</v>
      </c>
      <c r="G71" s="64">
        <v>138</v>
      </c>
      <c r="H71" s="136">
        <f>_xlfn.XLOOKUP(data[[#This Row],[Product]],products[Product],products[Cost per unit])</f>
        <v>10.62</v>
      </c>
      <c r="I71" s="81">
        <f>data[[#This Row],[Cost per unit]]*data[[#This Row],[Units]]</f>
        <v>1465.56</v>
      </c>
    </row>
    <row r="72" spans="3:9" s="1" customFormat="1">
      <c r="C72" s="90" t="s">
        <v>39</v>
      </c>
      <c r="D72" s="136" t="s">
        <v>8</v>
      </c>
      <c r="E72" s="62" t="s">
        <v>32</v>
      </c>
      <c r="F72" s="140">
        <v>4487</v>
      </c>
      <c r="G72" s="64">
        <v>111</v>
      </c>
      <c r="H72" s="136">
        <f>_xlfn.XLOOKUP(data[[#This Row],[Product]],products[Product],products[Cost per unit])</f>
        <v>3.11</v>
      </c>
      <c r="I72" s="81">
        <f>data[[#This Row],[Cost per unit]]*data[[#This Row],[Units]]</f>
        <v>345.21</v>
      </c>
    </row>
    <row r="73" spans="3:9" s="1" customFormat="1">
      <c r="C73" s="90" t="s">
        <v>42</v>
      </c>
      <c r="D73" s="136" t="s">
        <v>13</v>
      </c>
      <c r="E73" s="62" t="s">
        <v>22</v>
      </c>
      <c r="F73" s="140">
        <v>2415</v>
      </c>
      <c r="G73" s="64">
        <v>15</v>
      </c>
      <c r="H73" s="136">
        <f>_xlfn.XLOOKUP(data[[#This Row],[Product]],products[Product],products[Cost per unit])</f>
        <v>6.47</v>
      </c>
      <c r="I73" s="81">
        <f>data[[#This Row],[Cost per unit]]*data[[#This Row],[Units]]</f>
        <v>97.05</v>
      </c>
    </row>
    <row r="74" spans="3:9" s="1" customFormat="1">
      <c r="C74" s="90" t="s">
        <v>7</v>
      </c>
      <c r="D74" s="136" t="s">
        <v>49</v>
      </c>
      <c r="E74" s="62" t="s">
        <v>38</v>
      </c>
      <c r="F74" s="140">
        <v>4018</v>
      </c>
      <c r="G74" s="64">
        <v>162</v>
      </c>
      <c r="H74" s="136">
        <f>_xlfn.XLOOKUP(data[[#This Row],[Product]],products[Product],products[Cost per unit])</f>
        <v>7.64</v>
      </c>
      <c r="I74" s="81">
        <f>data[[#This Row],[Cost per unit]]*data[[#This Row],[Units]]</f>
        <v>1237.6799999999998</v>
      </c>
    </row>
    <row r="75" spans="3:9" s="1" customFormat="1">
      <c r="C75" s="90" t="s">
        <v>42</v>
      </c>
      <c r="D75" s="136" t="s">
        <v>49</v>
      </c>
      <c r="E75" s="62" t="s">
        <v>38</v>
      </c>
      <c r="F75" s="140">
        <v>861</v>
      </c>
      <c r="G75" s="64">
        <v>195</v>
      </c>
      <c r="H75" s="136">
        <f>_xlfn.XLOOKUP(data[[#This Row],[Product]],products[Product],products[Cost per unit])</f>
        <v>7.64</v>
      </c>
      <c r="I75" s="81">
        <f>data[[#This Row],[Cost per unit]]*data[[#This Row],[Units]]</f>
        <v>1489.8</v>
      </c>
    </row>
    <row r="76" spans="3:9" s="1" customFormat="1">
      <c r="C76" s="90" t="s">
        <v>54</v>
      </c>
      <c r="D76" s="136" t="s">
        <v>33</v>
      </c>
      <c r="E76" s="62" t="s">
        <v>16</v>
      </c>
      <c r="F76" s="140">
        <v>5586</v>
      </c>
      <c r="G76" s="64">
        <v>525</v>
      </c>
      <c r="H76" s="136">
        <f>_xlfn.XLOOKUP(data[[#This Row],[Product]],products[Product],products[Cost per unit])</f>
        <v>11.7</v>
      </c>
      <c r="I76" s="81">
        <f>data[[#This Row],[Cost per unit]]*data[[#This Row],[Units]]</f>
        <v>6142.5</v>
      </c>
    </row>
    <row r="77" spans="3:9" s="1" customFormat="1">
      <c r="C77" s="90" t="s">
        <v>39</v>
      </c>
      <c r="D77" s="136" t="s">
        <v>49</v>
      </c>
      <c r="E77" s="62" t="s">
        <v>30</v>
      </c>
      <c r="F77" s="140">
        <v>2226</v>
      </c>
      <c r="G77" s="64">
        <v>48</v>
      </c>
      <c r="H77" s="136">
        <f>_xlfn.XLOOKUP(data[[#This Row],[Product]],products[Product],products[Cost per unit])</f>
        <v>12.37</v>
      </c>
      <c r="I77" s="81">
        <f>data[[#This Row],[Cost per unit]]*data[[#This Row],[Units]]</f>
        <v>593.76</v>
      </c>
    </row>
    <row r="78" spans="3:9" s="1" customFormat="1">
      <c r="C78" s="90" t="s">
        <v>17</v>
      </c>
      <c r="D78" s="136" t="s">
        <v>49</v>
      </c>
      <c r="E78" s="62" t="s">
        <v>53</v>
      </c>
      <c r="F78" s="140">
        <v>14329</v>
      </c>
      <c r="G78" s="64">
        <v>150</v>
      </c>
      <c r="H78" s="136">
        <f>_xlfn.XLOOKUP(data[[#This Row],[Product]],products[Product],products[Cost per unit])</f>
        <v>10.38</v>
      </c>
      <c r="I78" s="81">
        <f>data[[#This Row],[Cost per unit]]*data[[#This Row],[Units]]</f>
        <v>1557.0000000000002</v>
      </c>
    </row>
    <row r="79" spans="3:9" s="1" customFormat="1">
      <c r="C79" s="90" t="s">
        <v>17</v>
      </c>
      <c r="D79" s="136" t="s">
        <v>49</v>
      </c>
      <c r="E79" s="62" t="s">
        <v>41</v>
      </c>
      <c r="F79" s="140">
        <v>8463</v>
      </c>
      <c r="G79" s="64">
        <v>492</v>
      </c>
      <c r="H79" s="136">
        <f>_xlfn.XLOOKUP(data[[#This Row],[Product]],products[Product],products[Cost per unit])</f>
        <v>10.62</v>
      </c>
      <c r="I79" s="81">
        <f>data[[#This Row],[Cost per unit]]*data[[#This Row],[Units]]</f>
        <v>5225.04</v>
      </c>
    </row>
    <row r="80" spans="3:9" s="1" customFormat="1">
      <c r="C80" s="90" t="s">
        <v>42</v>
      </c>
      <c r="D80" s="136" t="s">
        <v>49</v>
      </c>
      <c r="E80" s="62" t="s">
        <v>51</v>
      </c>
      <c r="F80" s="140">
        <v>2891</v>
      </c>
      <c r="G80" s="64">
        <v>102</v>
      </c>
      <c r="H80" s="136">
        <f>_xlfn.XLOOKUP(data[[#This Row],[Product]],products[Product],products[Cost per unit])</f>
        <v>7.16</v>
      </c>
      <c r="I80" s="81">
        <f>data[[#This Row],[Cost per unit]]*data[[#This Row],[Units]]</f>
        <v>730.32</v>
      </c>
    </row>
    <row r="81" spans="3:9" s="1" customFormat="1">
      <c r="C81" s="90" t="s">
        <v>46</v>
      </c>
      <c r="D81" s="136" t="s">
        <v>21</v>
      </c>
      <c r="E81" s="62" t="s">
        <v>47</v>
      </c>
      <c r="F81" s="140">
        <v>3773</v>
      </c>
      <c r="G81" s="64">
        <v>165</v>
      </c>
      <c r="H81" s="136">
        <f>_xlfn.XLOOKUP(data[[#This Row],[Product]],products[Product],products[Cost per unit])</f>
        <v>6.49</v>
      </c>
      <c r="I81" s="81">
        <f>data[[#This Row],[Cost per unit]]*data[[#This Row],[Units]]</f>
        <v>1070.8500000000001</v>
      </c>
    </row>
    <row r="82" spans="3:9" s="1" customFormat="1">
      <c r="C82" s="90" t="s">
        <v>20</v>
      </c>
      <c r="D82" s="136" t="s">
        <v>21</v>
      </c>
      <c r="E82" s="62" t="s">
        <v>53</v>
      </c>
      <c r="F82" s="140">
        <v>854</v>
      </c>
      <c r="G82" s="64">
        <v>309</v>
      </c>
      <c r="H82" s="136">
        <f>_xlfn.XLOOKUP(data[[#This Row],[Product]],products[Product],products[Cost per unit])</f>
        <v>10.38</v>
      </c>
      <c r="I82" s="81">
        <f>data[[#This Row],[Cost per unit]]*data[[#This Row],[Units]]</f>
        <v>3207.42</v>
      </c>
    </row>
    <row r="83" spans="3:9" s="1" customFormat="1">
      <c r="C83" s="90" t="s">
        <v>25</v>
      </c>
      <c r="D83" s="136" t="s">
        <v>21</v>
      </c>
      <c r="E83" s="62" t="s">
        <v>32</v>
      </c>
      <c r="F83" s="140">
        <v>4970</v>
      </c>
      <c r="G83" s="64">
        <v>156</v>
      </c>
      <c r="H83" s="136">
        <f>_xlfn.XLOOKUP(data[[#This Row],[Product]],products[Product],products[Cost per unit])</f>
        <v>3.11</v>
      </c>
      <c r="I83" s="81">
        <f>data[[#This Row],[Cost per unit]]*data[[#This Row],[Units]]</f>
        <v>485.15999999999997</v>
      </c>
    </row>
    <row r="84" spans="3:9" s="1" customFormat="1">
      <c r="C84" s="90" t="s">
        <v>17</v>
      </c>
      <c r="D84" s="136" t="s">
        <v>13</v>
      </c>
      <c r="E84" s="62" t="s">
        <v>50</v>
      </c>
      <c r="F84" s="140">
        <v>98</v>
      </c>
      <c r="G84" s="64">
        <v>159</v>
      </c>
      <c r="H84" s="136">
        <f>_xlfn.XLOOKUP(data[[#This Row],[Product]],products[Product],products[Cost per unit])</f>
        <v>5.6</v>
      </c>
      <c r="I84" s="81">
        <f>data[[#This Row],[Cost per unit]]*data[[#This Row],[Units]]</f>
        <v>890.4</v>
      </c>
    </row>
    <row r="85" spans="3:9" s="1" customFormat="1">
      <c r="C85" s="90" t="s">
        <v>42</v>
      </c>
      <c r="D85" s="136" t="s">
        <v>13</v>
      </c>
      <c r="E85" s="62" t="s">
        <v>24</v>
      </c>
      <c r="F85" s="140">
        <v>13391</v>
      </c>
      <c r="G85" s="64">
        <v>201</v>
      </c>
      <c r="H85" s="136">
        <f>_xlfn.XLOOKUP(data[[#This Row],[Product]],products[Product],products[Cost per unit])</f>
        <v>11.73</v>
      </c>
      <c r="I85" s="81">
        <f>data[[#This Row],[Cost per unit]]*data[[#This Row],[Units]]</f>
        <v>2357.73</v>
      </c>
    </row>
    <row r="86" spans="3:9" s="1" customFormat="1">
      <c r="C86" s="90" t="s">
        <v>12</v>
      </c>
      <c r="D86" s="136" t="s">
        <v>26</v>
      </c>
      <c r="E86" s="62" t="s">
        <v>34</v>
      </c>
      <c r="F86" s="140">
        <v>8890</v>
      </c>
      <c r="G86" s="64">
        <v>210</v>
      </c>
      <c r="H86" s="136">
        <f>_xlfn.XLOOKUP(data[[#This Row],[Product]],products[Product],products[Cost per unit])</f>
        <v>5.79</v>
      </c>
      <c r="I86" s="81">
        <f>data[[#This Row],[Cost per unit]]*data[[#This Row],[Units]]</f>
        <v>1215.9000000000001</v>
      </c>
    </row>
    <row r="87" spans="3:9" s="1" customFormat="1">
      <c r="C87" s="90" t="s">
        <v>45</v>
      </c>
      <c r="D87" s="136" t="s">
        <v>33</v>
      </c>
      <c r="E87" s="62" t="s">
        <v>11</v>
      </c>
      <c r="F87" s="140">
        <v>56</v>
      </c>
      <c r="G87" s="64">
        <v>51</v>
      </c>
      <c r="H87" s="136">
        <f>_xlfn.XLOOKUP(data[[#This Row],[Product]],products[Product],products[Cost per unit])</f>
        <v>9.33</v>
      </c>
      <c r="I87" s="81">
        <f>data[[#This Row],[Cost per unit]]*data[[#This Row],[Units]]</f>
        <v>475.83</v>
      </c>
    </row>
    <row r="88" spans="3:9" s="1" customFormat="1">
      <c r="C88" s="90" t="s">
        <v>46</v>
      </c>
      <c r="D88" s="136" t="s">
        <v>21</v>
      </c>
      <c r="E88" s="62" t="s">
        <v>27</v>
      </c>
      <c r="F88" s="140">
        <v>3339</v>
      </c>
      <c r="G88" s="64">
        <v>39</v>
      </c>
      <c r="H88" s="136">
        <f>_xlfn.XLOOKUP(data[[#This Row],[Product]],products[Product],products[Cost per unit])</f>
        <v>13.15</v>
      </c>
      <c r="I88" s="81">
        <f>data[[#This Row],[Cost per unit]]*data[[#This Row],[Units]]</f>
        <v>512.85</v>
      </c>
    </row>
    <row r="89" spans="3:9" s="1" customFormat="1">
      <c r="C89" s="90" t="s">
        <v>54</v>
      </c>
      <c r="D89" s="136" t="s">
        <v>13</v>
      </c>
      <c r="E89" s="62" t="s">
        <v>22</v>
      </c>
      <c r="F89" s="140">
        <v>3808</v>
      </c>
      <c r="G89" s="64">
        <v>279</v>
      </c>
      <c r="H89" s="136">
        <f>_xlfn.XLOOKUP(data[[#This Row],[Product]],products[Product],products[Cost per unit])</f>
        <v>6.47</v>
      </c>
      <c r="I89" s="81">
        <f>data[[#This Row],[Cost per unit]]*data[[#This Row],[Units]]</f>
        <v>1805.1299999999999</v>
      </c>
    </row>
    <row r="90" spans="3:9" s="1" customFormat="1">
      <c r="C90" s="90" t="s">
        <v>54</v>
      </c>
      <c r="D90" s="136" t="s">
        <v>33</v>
      </c>
      <c r="E90" s="62" t="s">
        <v>11</v>
      </c>
      <c r="F90" s="140">
        <v>63</v>
      </c>
      <c r="G90" s="64">
        <v>123</v>
      </c>
      <c r="H90" s="136">
        <f>_xlfn.XLOOKUP(data[[#This Row],[Product]],products[Product],products[Cost per unit])</f>
        <v>9.33</v>
      </c>
      <c r="I90" s="81">
        <f>data[[#This Row],[Cost per unit]]*data[[#This Row],[Units]]</f>
        <v>1147.5899999999999</v>
      </c>
    </row>
    <row r="91" spans="3:9" s="1" customFormat="1">
      <c r="C91" s="90" t="s">
        <v>45</v>
      </c>
      <c r="D91" s="136" t="s">
        <v>26</v>
      </c>
      <c r="E91" s="62" t="s">
        <v>52</v>
      </c>
      <c r="F91" s="140">
        <v>7812</v>
      </c>
      <c r="G91" s="64">
        <v>81</v>
      </c>
      <c r="H91" s="136">
        <f>_xlfn.XLOOKUP(data[[#This Row],[Product]],products[Product],products[Cost per unit])</f>
        <v>16.73</v>
      </c>
      <c r="I91" s="81">
        <f>data[[#This Row],[Cost per unit]]*data[[#This Row],[Units]]</f>
        <v>1355.13</v>
      </c>
    </row>
    <row r="92" spans="3:9" s="1" customFormat="1">
      <c r="C92" s="90" t="s">
        <v>7</v>
      </c>
      <c r="D92" s="136" t="s">
        <v>8</v>
      </c>
      <c r="E92" s="62" t="s">
        <v>38</v>
      </c>
      <c r="F92" s="140">
        <v>7693</v>
      </c>
      <c r="G92" s="64">
        <v>21</v>
      </c>
      <c r="H92" s="136">
        <f>_xlfn.XLOOKUP(data[[#This Row],[Product]],products[Product],products[Cost per unit])</f>
        <v>7.64</v>
      </c>
      <c r="I92" s="81">
        <f>data[[#This Row],[Cost per unit]]*data[[#This Row],[Units]]</f>
        <v>160.44</v>
      </c>
    </row>
    <row r="93" spans="3:9" s="1" customFormat="1">
      <c r="C93" s="90" t="s">
        <v>46</v>
      </c>
      <c r="D93" s="136" t="s">
        <v>21</v>
      </c>
      <c r="E93" s="62" t="s">
        <v>53</v>
      </c>
      <c r="F93" s="140">
        <v>973</v>
      </c>
      <c r="G93" s="64">
        <v>162</v>
      </c>
      <c r="H93" s="136">
        <f>_xlfn.XLOOKUP(data[[#This Row],[Product]],products[Product],products[Cost per unit])</f>
        <v>10.38</v>
      </c>
      <c r="I93" s="81">
        <f>data[[#This Row],[Cost per unit]]*data[[#This Row],[Units]]</f>
        <v>1681.5600000000002</v>
      </c>
    </row>
    <row r="94" spans="3:9" s="1" customFormat="1">
      <c r="C94" s="90" t="s">
        <v>54</v>
      </c>
      <c r="D94" s="136" t="s">
        <v>13</v>
      </c>
      <c r="E94" s="62" t="s">
        <v>44</v>
      </c>
      <c r="F94" s="140">
        <v>567</v>
      </c>
      <c r="G94" s="64">
        <v>228</v>
      </c>
      <c r="H94" s="136">
        <f>_xlfn.XLOOKUP(data[[#This Row],[Product]],products[Product],products[Cost per unit])</f>
        <v>9</v>
      </c>
      <c r="I94" s="81">
        <f>data[[#This Row],[Cost per unit]]*data[[#This Row],[Units]]</f>
        <v>2052</v>
      </c>
    </row>
    <row r="95" spans="3:9" s="1" customFormat="1">
      <c r="C95" s="90" t="s">
        <v>54</v>
      </c>
      <c r="D95" s="136" t="s">
        <v>21</v>
      </c>
      <c r="E95" s="62" t="s">
        <v>51</v>
      </c>
      <c r="F95" s="140">
        <v>2471</v>
      </c>
      <c r="G95" s="64">
        <v>342</v>
      </c>
      <c r="H95" s="136">
        <f>_xlfn.XLOOKUP(data[[#This Row],[Product]],products[Product],products[Cost per unit])</f>
        <v>7.16</v>
      </c>
      <c r="I95" s="81">
        <f>data[[#This Row],[Cost per unit]]*data[[#This Row],[Units]]</f>
        <v>2448.7200000000003</v>
      </c>
    </row>
    <row r="96" spans="3:9" s="1" customFormat="1">
      <c r="C96" s="90" t="s">
        <v>42</v>
      </c>
      <c r="D96" s="136" t="s">
        <v>33</v>
      </c>
      <c r="E96" s="62" t="s">
        <v>11</v>
      </c>
      <c r="F96" s="140">
        <v>7189</v>
      </c>
      <c r="G96" s="64">
        <v>54</v>
      </c>
      <c r="H96" s="136">
        <f>_xlfn.XLOOKUP(data[[#This Row],[Product]],products[Product],products[Cost per unit])</f>
        <v>9.33</v>
      </c>
      <c r="I96" s="81">
        <f>data[[#This Row],[Cost per unit]]*data[[#This Row],[Units]]</f>
        <v>503.82</v>
      </c>
    </row>
    <row r="97" spans="3:9" s="1" customFormat="1">
      <c r="C97" s="90" t="s">
        <v>20</v>
      </c>
      <c r="D97" s="136" t="s">
        <v>13</v>
      </c>
      <c r="E97" s="62" t="s">
        <v>53</v>
      </c>
      <c r="F97" s="140">
        <v>7455</v>
      </c>
      <c r="G97" s="64">
        <v>216</v>
      </c>
      <c r="H97" s="136">
        <f>_xlfn.XLOOKUP(data[[#This Row],[Product]],products[Product],products[Cost per unit])</f>
        <v>10.38</v>
      </c>
      <c r="I97" s="81">
        <f>data[[#This Row],[Cost per unit]]*data[[#This Row],[Units]]</f>
        <v>2242.0800000000004</v>
      </c>
    </row>
    <row r="98" spans="3:9" s="1" customFormat="1">
      <c r="C98" s="90" t="s">
        <v>46</v>
      </c>
      <c r="D98" s="136" t="s">
        <v>49</v>
      </c>
      <c r="E98" s="62" t="s">
        <v>50</v>
      </c>
      <c r="F98" s="140">
        <v>3108</v>
      </c>
      <c r="G98" s="64">
        <v>54</v>
      </c>
      <c r="H98" s="136">
        <f>_xlfn.XLOOKUP(data[[#This Row],[Product]],products[Product],products[Cost per unit])</f>
        <v>5.6</v>
      </c>
      <c r="I98" s="81">
        <f>data[[#This Row],[Cost per unit]]*data[[#This Row],[Units]]</f>
        <v>302.39999999999998</v>
      </c>
    </row>
    <row r="99" spans="3:9" s="1" customFormat="1">
      <c r="C99" s="90" t="s">
        <v>25</v>
      </c>
      <c r="D99" s="136" t="s">
        <v>33</v>
      </c>
      <c r="E99" s="62" t="s">
        <v>27</v>
      </c>
      <c r="F99" s="140">
        <v>469</v>
      </c>
      <c r="G99" s="64">
        <v>75</v>
      </c>
      <c r="H99" s="136">
        <f>_xlfn.XLOOKUP(data[[#This Row],[Product]],products[Product],products[Cost per unit])</f>
        <v>13.15</v>
      </c>
      <c r="I99" s="81">
        <f>data[[#This Row],[Cost per unit]]*data[[#This Row],[Units]]</f>
        <v>986.25</v>
      </c>
    </row>
    <row r="100" spans="3:9" s="1" customFormat="1">
      <c r="C100" s="90" t="s">
        <v>17</v>
      </c>
      <c r="D100" s="136" t="s">
        <v>8</v>
      </c>
      <c r="E100" s="62" t="s">
        <v>47</v>
      </c>
      <c r="F100" s="140">
        <v>2737</v>
      </c>
      <c r="G100" s="64">
        <v>93</v>
      </c>
      <c r="H100" s="136">
        <f>_xlfn.XLOOKUP(data[[#This Row],[Product]],products[Product],products[Cost per unit])</f>
        <v>6.49</v>
      </c>
      <c r="I100" s="81">
        <f>data[[#This Row],[Cost per unit]]*data[[#This Row],[Units]]</f>
        <v>603.57000000000005</v>
      </c>
    </row>
    <row r="101" spans="3:9" s="1" customFormat="1">
      <c r="C101" s="90" t="s">
        <v>17</v>
      </c>
      <c r="D101" s="136" t="s">
        <v>8</v>
      </c>
      <c r="E101" s="62" t="s">
        <v>27</v>
      </c>
      <c r="F101" s="140">
        <v>4305</v>
      </c>
      <c r="G101" s="64">
        <v>156</v>
      </c>
      <c r="H101" s="136">
        <f>_xlfn.XLOOKUP(data[[#This Row],[Product]],products[Product],products[Cost per unit])</f>
        <v>13.15</v>
      </c>
      <c r="I101" s="81">
        <f>data[[#This Row],[Cost per unit]]*data[[#This Row],[Units]]</f>
        <v>2051.4</v>
      </c>
    </row>
    <row r="102" spans="3:9" s="1" customFormat="1">
      <c r="C102" s="90" t="s">
        <v>17</v>
      </c>
      <c r="D102" s="136" t="s">
        <v>33</v>
      </c>
      <c r="E102" s="62" t="s">
        <v>32</v>
      </c>
      <c r="F102" s="140">
        <v>2408</v>
      </c>
      <c r="G102" s="64">
        <v>9</v>
      </c>
      <c r="H102" s="136">
        <f>_xlfn.XLOOKUP(data[[#This Row],[Product]],products[Product],products[Cost per unit])</f>
        <v>3.11</v>
      </c>
      <c r="I102" s="81">
        <f>data[[#This Row],[Cost per unit]]*data[[#This Row],[Units]]</f>
        <v>27.99</v>
      </c>
    </row>
    <row r="103" spans="3:9" s="1" customFormat="1">
      <c r="C103" s="90" t="s">
        <v>46</v>
      </c>
      <c r="D103" s="136" t="s">
        <v>21</v>
      </c>
      <c r="E103" s="62" t="s">
        <v>38</v>
      </c>
      <c r="F103" s="140">
        <v>1281</v>
      </c>
      <c r="G103" s="64">
        <v>18</v>
      </c>
      <c r="H103" s="136">
        <f>_xlfn.XLOOKUP(data[[#This Row],[Product]],products[Product],products[Cost per unit])</f>
        <v>7.64</v>
      </c>
      <c r="I103" s="81">
        <f>data[[#This Row],[Cost per unit]]*data[[#This Row],[Units]]</f>
        <v>137.51999999999998</v>
      </c>
    </row>
    <row r="104" spans="3:9" s="1" customFormat="1">
      <c r="C104" s="90" t="s">
        <v>7</v>
      </c>
      <c r="D104" s="136" t="s">
        <v>13</v>
      </c>
      <c r="E104" s="62" t="s">
        <v>14</v>
      </c>
      <c r="F104" s="140">
        <v>12348</v>
      </c>
      <c r="G104" s="64">
        <v>234</v>
      </c>
      <c r="H104" s="136">
        <f>_xlfn.XLOOKUP(data[[#This Row],[Product]],products[Product],products[Cost per unit])</f>
        <v>8.65</v>
      </c>
      <c r="I104" s="81">
        <f>data[[#This Row],[Cost per unit]]*data[[#This Row],[Units]]</f>
        <v>2024.1000000000001</v>
      </c>
    </row>
    <row r="105" spans="3:9" s="1" customFormat="1">
      <c r="C105" s="90" t="s">
        <v>46</v>
      </c>
      <c r="D105" s="136" t="s">
        <v>49</v>
      </c>
      <c r="E105" s="62" t="s">
        <v>53</v>
      </c>
      <c r="F105" s="140">
        <v>3689</v>
      </c>
      <c r="G105" s="64">
        <v>312</v>
      </c>
      <c r="H105" s="136">
        <f>_xlfn.XLOOKUP(data[[#This Row],[Product]],products[Product],products[Cost per unit])</f>
        <v>10.38</v>
      </c>
      <c r="I105" s="81">
        <f>data[[#This Row],[Cost per unit]]*data[[#This Row],[Units]]</f>
        <v>3238.5600000000004</v>
      </c>
    </row>
    <row r="106" spans="3:9" s="1" customFormat="1">
      <c r="C106" s="90" t="s">
        <v>39</v>
      </c>
      <c r="D106" s="136" t="s">
        <v>21</v>
      </c>
      <c r="E106" s="62" t="s">
        <v>38</v>
      </c>
      <c r="F106" s="140">
        <v>2870</v>
      </c>
      <c r="G106" s="64">
        <v>300</v>
      </c>
      <c r="H106" s="136">
        <f>_xlfn.XLOOKUP(data[[#This Row],[Product]],products[Product],products[Cost per unit])</f>
        <v>7.64</v>
      </c>
      <c r="I106" s="81">
        <f>data[[#This Row],[Cost per unit]]*data[[#This Row],[Units]]</f>
        <v>2292</v>
      </c>
    </row>
    <row r="107" spans="3:9" s="1" customFormat="1">
      <c r="C107" s="90" t="s">
        <v>45</v>
      </c>
      <c r="D107" s="136" t="s">
        <v>21</v>
      </c>
      <c r="E107" s="62" t="s">
        <v>52</v>
      </c>
      <c r="F107" s="140">
        <v>798</v>
      </c>
      <c r="G107" s="64">
        <v>519</v>
      </c>
      <c r="H107" s="136">
        <f>_xlfn.XLOOKUP(data[[#This Row],[Product]],products[Product],products[Cost per unit])</f>
        <v>16.73</v>
      </c>
      <c r="I107" s="81">
        <f>data[[#This Row],[Cost per unit]]*data[[#This Row],[Units]]</f>
        <v>8682.8700000000008</v>
      </c>
    </row>
    <row r="108" spans="3:9" s="1" customFormat="1">
      <c r="C108" s="90" t="s">
        <v>20</v>
      </c>
      <c r="D108" s="136" t="s">
        <v>8</v>
      </c>
      <c r="E108" s="62" t="s">
        <v>44</v>
      </c>
      <c r="F108" s="140">
        <v>2933</v>
      </c>
      <c r="G108" s="64">
        <v>9</v>
      </c>
      <c r="H108" s="136">
        <f>_xlfn.XLOOKUP(data[[#This Row],[Product]],products[Product],products[Cost per unit])</f>
        <v>9</v>
      </c>
      <c r="I108" s="81">
        <f>data[[#This Row],[Cost per unit]]*data[[#This Row],[Units]]</f>
        <v>81</v>
      </c>
    </row>
    <row r="109" spans="3:9" s="1" customFormat="1">
      <c r="C109" s="90" t="s">
        <v>42</v>
      </c>
      <c r="D109" s="136" t="s">
        <v>13</v>
      </c>
      <c r="E109" s="62" t="s">
        <v>18</v>
      </c>
      <c r="F109" s="140">
        <v>2744</v>
      </c>
      <c r="G109" s="64">
        <v>9</v>
      </c>
      <c r="H109" s="136">
        <f>_xlfn.XLOOKUP(data[[#This Row],[Product]],products[Product],products[Cost per unit])</f>
        <v>11.88</v>
      </c>
      <c r="I109" s="81">
        <f>data[[#This Row],[Cost per unit]]*data[[#This Row],[Units]]</f>
        <v>106.92</v>
      </c>
    </row>
    <row r="110" spans="3:9" s="1" customFormat="1">
      <c r="C110" s="90" t="s">
        <v>7</v>
      </c>
      <c r="D110" s="136" t="s">
        <v>21</v>
      </c>
      <c r="E110" s="62" t="s">
        <v>30</v>
      </c>
      <c r="F110" s="140">
        <v>9772</v>
      </c>
      <c r="G110" s="64">
        <v>90</v>
      </c>
      <c r="H110" s="136">
        <f>_xlfn.XLOOKUP(data[[#This Row],[Product]],products[Product],products[Cost per unit])</f>
        <v>12.37</v>
      </c>
      <c r="I110" s="81">
        <f>data[[#This Row],[Cost per unit]]*data[[#This Row],[Units]]</f>
        <v>1113.3</v>
      </c>
    </row>
    <row r="111" spans="3:9" s="1" customFormat="1">
      <c r="C111" s="90" t="s">
        <v>39</v>
      </c>
      <c r="D111" s="136" t="s">
        <v>49</v>
      </c>
      <c r="E111" s="62" t="s">
        <v>27</v>
      </c>
      <c r="F111" s="140">
        <v>1568</v>
      </c>
      <c r="G111" s="64">
        <v>96</v>
      </c>
      <c r="H111" s="136">
        <f>_xlfn.XLOOKUP(data[[#This Row],[Product]],products[Product],products[Cost per unit])</f>
        <v>13.15</v>
      </c>
      <c r="I111" s="81">
        <f>data[[#This Row],[Cost per unit]]*data[[#This Row],[Units]]</f>
        <v>1262.4000000000001</v>
      </c>
    </row>
    <row r="112" spans="3:9" s="1" customFormat="1">
      <c r="C112" s="90" t="s">
        <v>45</v>
      </c>
      <c r="D112" s="136" t="s">
        <v>21</v>
      </c>
      <c r="E112" s="62" t="s">
        <v>29</v>
      </c>
      <c r="F112" s="140">
        <v>11417</v>
      </c>
      <c r="G112" s="64">
        <v>21</v>
      </c>
      <c r="H112" s="136">
        <f>_xlfn.XLOOKUP(data[[#This Row],[Product]],products[Product],products[Cost per unit])</f>
        <v>8.7899999999999991</v>
      </c>
      <c r="I112" s="81">
        <f>data[[#This Row],[Cost per unit]]*data[[#This Row],[Units]]</f>
        <v>184.58999999999997</v>
      </c>
    </row>
    <row r="113" spans="3:9" s="1" customFormat="1">
      <c r="C113" s="90" t="s">
        <v>7</v>
      </c>
      <c r="D113" s="136" t="s">
        <v>49</v>
      </c>
      <c r="E113" s="62" t="s">
        <v>50</v>
      </c>
      <c r="F113" s="140">
        <v>6748</v>
      </c>
      <c r="G113" s="64">
        <v>48</v>
      </c>
      <c r="H113" s="136">
        <f>_xlfn.XLOOKUP(data[[#This Row],[Product]],products[Product],products[Cost per unit])</f>
        <v>5.6</v>
      </c>
      <c r="I113" s="81">
        <f>data[[#This Row],[Cost per unit]]*data[[#This Row],[Units]]</f>
        <v>268.79999999999995</v>
      </c>
    </row>
    <row r="114" spans="3:9" s="1" customFormat="1">
      <c r="C114" s="90" t="s">
        <v>54</v>
      </c>
      <c r="D114" s="136" t="s">
        <v>21</v>
      </c>
      <c r="E114" s="62" t="s">
        <v>52</v>
      </c>
      <c r="F114" s="140">
        <v>1407</v>
      </c>
      <c r="G114" s="64">
        <v>72</v>
      </c>
      <c r="H114" s="136">
        <f>_xlfn.XLOOKUP(data[[#This Row],[Product]],products[Product],products[Cost per unit])</f>
        <v>16.73</v>
      </c>
      <c r="I114" s="81">
        <f>data[[#This Row],[Cost per unit]]*data[[#This Row],[Units]]</f>
        <v>1204.56</v>
      </c>
    </row>
    <row r="115" spans="3:9" s="1" customFormat="1">
      <c r="C115" s="90" t="s">
        <v>12</v>
      </c>
      <c r="D115" s="136" t="s">
        <v>13</v>
      </c>
      <c r="E115" s="62" t="s">
        <v>51</v>
      </c>
      <c r="F115" s="140">
        <v>2023</v>
      </c>
      <c r="G115" s="64">
        <v>168</v>
      </c>
      <c r="H115" s="136">
        <f>_xlfn.XLOOKUP(data[[#This Row],[Product]],products[Product],products[Cost per unit])</f>
        <v>7.16</v>
      </c>
      <c r="I115" s="81">
        <f>data[[#This Row],[Cost per unit]]*data[[#This Row],[Units]]</f>
        <v>1202.8800000000001</v>
      </c>
    </row>
    <row r="116" spans="3:9" s="1" customFormat="1">
      <c r="C116" s="90" t="s">
        <v>42</v>
      </c>
      <c r="D116" s="136" t="s">
        <v>26</v>
      </c>
      <c r="E116" s="62" t="s">
        <v>50</v>
      </c>
      <c r="F116" s="140">
        <v>5236</v>
      </c>
      <c r="G116" s="64">
        <v>51</v>
      </c>
      <c r="H116" s="136">
        <f>_xlfn.XLOOKUP(data[[#This Row],[Product]],products[Product],products[Cost per unit])</f>
        <v>5.6</v>
      </c>
      <c r="I116" s="81">
        <f>data[[#This Row],[Cost per unit]]*data[[#This Row],[Units]]</f>
        <v>285.59999999999997</v>
      </c>
    </row>
    <row r="117" spans="3:9" s="1" customFormat="1">
      <c r="C117" s="90" t="s">
        <v>20</v>
      </c>
      <c r="D117" s="136" t="s">
        <v>21</v>
      </c>
      <c r="E117" s="62" t="s">
        <v>38</v>
      </c>
      <c r="F117" s="140">
        <v>1925</v>
      </c>
      <c r="G117" s="64">
        <v>192</v>
      </c>
      <c r="H117" s="136">
        <f>_xlfn.XLOOKUP(data[[#This Row],[Product]],products[Product],products[Cost per unit])</f>
        <v>7.64</v>
      </c>
      <c r="I117" s="81">
        <f>data[[#This Row],[Cost per unit]]*data[[#This Row],[Units]]</f>
        <v>1466.8799999999999</v>
      </c>
    </row>
    <row r="118" spans="3:9" s="1" customFormat="1">
      <c r="C118" s="90" t="s">
        <v>39</v>
      </c>
      <c r="D118" s="136" t="s">
        <v>8</v>
      </c>
      <c r="E118" s="62" t="s">
        <v>16</v>
      </c>
      <c r="F118" s="140">
        <v>6608</v>
      </c>
      <c r="G118" s="64">
        <v>225</v>
      </c>
      <c r="H118" s="136">
        <f>_xlfn.XLOOKUP(data[[#This Row],[Product]],products[Product],products[Cost per unit])</f>
        <v>11.7</v>
      </c>
      <c r="I118" s="81">
        <f>data[[#This Row],[Cost per unit]]*data[[#This Row],[Units]]</f>
        <v>2632.5</v>
      </c>
    </row>
    <row r="119" spans="3:9" s="1" customFormat="1">
      <c r="C119" s="90" t="s">
        <v>25</v>
      </c>
      <c r="D119" s="136" t="s">
        <v>49</v>
      </c>
      <c r="E119" s="62" t="s">
        <v>50</v>
      </c>
      <c r="F119" s="140">
        <v>8008</v>
      </c>
      <c r="G119" s="64">
        <v>456</v>
      </c>
      <c r="H119" s="136">
        <f>_xlfn.XLOOKUP(data[[#This Row],[Product]],products[Product],products[Cost per unit])</f>
        <v>5.6</v>
      </c>
      <c r="I119" s="81">
        <f>data[[#This Row],[Cost per unit]]*data[[#This Row],[Units]]</f>
        <v>2553.6</v>
      </c>
    </row>
    <row r="120" spans="3:9" s="1" customFormat="1">
      <c r="C120" s="90" t="s">
        <v>54</v>
      </c>
      <c r="D120" s="136" t="s">
        <v>49</v>
      </c>
      <c r="E120" s="62" t="s">
        <v>27</v>
      </c>
      <c r="F120" s="140">
        <v>1428</v>
      </c>
      <c r="G120" s="64">
        <v>93</v>
      </c>
      <c r="H120" s="136">
        <f>_xlfn.XLOOKUP(data[[#This Row],[Product]],products[Product],products[Cost per unit])</f>
        <v>13.15</v>
      </c>
      <c r="I120" s="81">
        <f>data[[#This Row],[Cost per unit]]*data[[#This Row],[Units]]</f>
        <v>1222.95</v>
      </c>
    </row>
    <row r="121" spans="3:9" s="1" customFormat="1">
      <c r="C121" s="90" t="s">
        <v>25</v>
      </c>
      <c r="D121" s="136" t="s">
        <v>49</v>
      </c>
      <c r="E121" s="62" t="s">
        <v>18</v>
      </c>
      <c r="F121" s="140">
        <v>525</v>
      </c>
      <c r="G121" s="64">
        <v>48</v>
      </c>
      <c r="H121" s="136">
        <f>_xlfn.XLOOKUP(data[[#This Row],[Product]],products[Product],products[Cost per unit])</f>
        <v>11.88</v>
      </c>
      <c r="I121" s="81">
        <f>data[[#This Row],[Cost per unit]]*data[[#This Row],[Units]]</f>
        <v>570.24</v>
      </c>
    </row>
    <row r="122" spans="3:9" s="1" customFormat="1">
      <c r="C122" s="90" t="s">
        <v>25</v>
      </c>
      <c r="D122" s="136" t="s">
        <v>8</v>
      </c>
      <c r="E122" s="62" t="s">
        <v>22</v>
      </c>
      <c r="F122" s="140">
        <v>1505</v>
      </c>
      <c r="G122" s="64">
        <v>102</v>
      </c>
      <c r="H122" s="136">
        <f>_xlfn.XLOOKUP(data[[#This Row],[Product]],products[Product],products[Cost per unit])</f>
        <v>6.47</v>
      </c>
      <c r="I122" s="81">
        <f>data[[#This Row],[Cost per unit]]*data[[#This Row],[Units]]</f>
        <v>659.93999999999994</v>
      </c>
    </row>
    <row r="123" spans="3:9" s="1" customFormat="1">
      <c r="C123" s="90" t="s">
        <v>39</v>
      </c>
      <c r="D123" s="136" t="s">
        <v>13</v>
      </c>
      <c r="E123" s="62" t="s">
        <v>9</v>
      </c>
      <c r="F123" s="140">
        <v>6755</v>
      </c>
      <c r="G123" s="64">
        <v>252</v>
      </c>
      <c r="H123" s="136">
        <f>_xlfn.XLOOKUP(data[[#This Row],[Product]],products[Product],products[Cost per unit])</f>
        <v>14.49</v>
      </c>
      <c r="I123" s="81">
        <f>data[[#This Row],[Cost per unit]]*data[[#This Row],[Units]]</f>
        <v>3651.48</v>
      </c>
    </row>
    <row r="124" spans="3:9" s="1" customFormat="1">
      <c r="C124" s="90" t="s">
        <v>45</v>
      </c>
      <c r="D124" s="136" t="s">
        <v>8</v>
      </c>
      <c r="E124" s="62" t="s">
        <v>22</v>
      </c>
      <c r="F124" s="140">
        <v>11571</v>
      </c>
      <c r="G124" s="64">
        <v>138</v>
      </c>
      <c r="H124" s="136">
        <f>_xlfn.XLOOKUP(data[[#This Row],[Product]],products[Product],products[Cost per unit])</f>
        <v>6.47</v>
      </c>
      <c r="I124" s="81">
        <f>data[[#This Row],[Cost per unit]]*data[[#This Row],[Units]]</f>
        <v>892.86</v>
      </c>
    </row>
    <row r="125" spans="3:9" s="1" customFormat="1">
      <c r="C125" s="90" t="s">
        <v>7</v>
      </c>
      <c r="D125" s="136" t="s">
        <v>33</v>
      </c>
      <c r="E125" s="62" t="s">
        <v>27</v>
      </c>
      <c r="F125" s="140">
        <v>2541</v>
      </c>
      <c r="G125" s="64">
        <v>90</v>
      </c>
      <c r="H125" s="136">
        <f>_xlfn.XLOOKUP(data[[#This Row],[Product]],products[Product],products[Cost per unit])</f>
        <v>13.15</v>
      </c>
      <c r="I125" s="81">
        <f>data[[#This Row],[Cost per unit]]*data[[#This Row],[Units]]</f>
        <v>1183.5</v>
      </c>
    </row>
    <row r="126" spans="3:9" s="1" customFormat="1">
      <c r="C126" s="90" t="s">
        <v>20</v>
      </c>
      <c r="D126" s="136" t="s">
        <v>8</v>
      </c>
      <c r="E126" s="62" t="s">
        <v>9</v>
      </c>
      <c r="F126" s="140">
        <v>1526</v>
      </c>
      <c r="G126" s="64">
        <v>240</v>
      </c>
      <c r="H126" s="136">
        <f>_xlfn.XLOOKUP(data[[#This Row],[Product]],products[Product],products[Cost per unit])</f>
        <v>14.49</v>
      </c>
      <c r="I126" s="81">
        <f>data[[#This Row],[Cost per unit]]*data[[#This Row],[Units]]</f>
        <v>3477.6</v>
      </c>
    </row>
    <row r="127" spans="3:9" s="1" customFormat="1">
      <c r="C127" s="90" t="s">
        <v>7</v>
      </c>
      <c r="D127" s="136" t="s">
        <v>33</v>
      </c>
      <c r="E127" s="62" t="s">
        <v>18</v>
      </c>
      <c r="F127" s="140">
        <v>6125</v>
      </c>
      <c r="G127" s="64">
        <v>102</v>
      </c>
      <c r="H127" s="136">
        <f>_xlfn.XLOOKUP(data[[#This Row],[Product]],products[Product],products[Cost per unit])</f>
        <v>11.88</v>
      </c>
      <c r="I127" s="81">
        <f>data[[#This Row],[Cost per unit]]*data[[#This Row],[Units]]</f>
        <v>1211.76</v>
      </c>
    </row>
    <row r="128" spans="3:9" s="1" customFormat="1">
      <c r="C128" s="90" t="s">
        <v>20</v>
      </c>
      <c r="D128" s="136" t="s">
        <v>13</v>
      </c>
      <c r="E128" s="62" t="s">
        <v>52</v>
      </c>
      <c r="F128" s="140">
        <v>847</v>
      </c>
      <c r="G128" s="64">
        <v>129</v>
      </c>
      <c r="H128" s="136">
        <f>_xlfn.XLOOKUP(data[[#This Row],[Product]],products[Product],products[Cost per unit])</f>
        <v>16.73</v>
      </c>
      <c r="I128" s="81">
        <f>data[[#This Row],[Cost per unit]]*data[[#This Row],[Units]]</f>
        <v>2158.17</v>
      </c>
    </row>
    <row r="129" spans="3:9" s="1" customFormat="1">
      <c r="C129" s="90" t="s">
        <v>12</v>
      </c>
      <c r="D129" s="136" t="s">
        <v>13</v>
      </c>
      <c r="E129" s="62" t="s">
        <v>52</v>
      </c>
      <c r="F129" s="140">
        <v>4753</v>
      </c>
      <c r="G129" s="64">
        <v>300</v>
      </c>
      <c r="H129" s="136">
        <f>_xlfn.XLOOKUP(data[[#This Row],[Product]],products[Product],products[Cost per unit])</f>
        <v>16.73</v>
      </c>
      <c r="I129" s="81">
        <f>data[[#This Row],[Cost per unit]]*data[[#This Row],[Units]]</f>
        <v>5019</v>
      </c>
    </row>
    <row r="130" spans="3:9" s="1" customFormat="1">
      <c r="C130" s="90" t="s">
        <v>25</v>
      </c>
      <c r="D130" s="136" t="s">
        <v>33</v>
      </c>
      <c r="E130" s="62" t="s">
        <v>30</v>
      </c>
      <c r="F130" s="140">
        <v>959</v>
      </c>
      <c r="G130" s="64">
        <v>135</v>
      </c>
      <c r="H130" s="136">
        <f>_xlfn.XLOOKUP(data[[#This Row],[Product]],products[Product],products[Cost per unit])</f>
        <v>12.37</v>
      </c>
      <c r="I130" s="81">
        <f>data[[#This Row],[Cost per unit]]*data[[#This Row],[Units]]</f>
        <v>1669.9499999999998</v>
      </c>
    </row>
    <row r="131" spans="3:9" s="1" customFormat="1">
      <c r="C131" s="90" t="s">
        <v>39</v>
      </c>
      <c r="D131" s="136" t="s">
        <v>13</v>
      </c>
      <c r="E131" s="62" t="s">
        <v>48</v>
      </c>
      <c r="F131" s="140">
        <v>2793</v>
      </c>
      <c r="G131" s="64">
        <v>114</v>
      </c>
      <c r="H131" s="136">
        <f>_xlfn.XLOOKUP(data[[#This Row],[Product]],products[Product],products[Cost per unit])</f>
        <v>4.97</v>
      </c>
      <c r="I131" s="81">
        <f>data[[#This Row],[Cost per unit]]*data[[#This Row],[Units]]</f>
        <v>566.57999999999993</v>
      </c>
    </row>
    <row r="132" spans="3:9" s="1" customFormat="1">
      <c r="C132" s="90" t="s">
        <v>39</v>
      </c>
      <c r="D132" s="136" t="s">
        <v>13</v>
      </c>
      <c r="E132" s="62" t="s">
        <v>16</v>
      </c>
      <c r="F132" s="140">
        <v>4606</v>
      </c>
      <c r="G132" s="64">
        <v>63</v>
      </c>
      <c r="H132" s="136">
        <f>_xlfn.XLOOKUP(data[[#This Row],[Product]],products[Product],products[Cost per unit])</f>
        <v>11.7</v>
      </c>
      <c r="I132" s="81">
        <f>data[[#This Row],[Cost per unit]]*data[[#This Row],[Units]]</f>
        <v>737.09999999999991</v>
      </c>
    </row>
    <row r="133" spans="3:9" s="1" customFormat="1">
      <c r="C133" s="90" t="s">
        <v>39</v>
      </c>
      <c r="D133" s="136" t="s">
        <v>21</v>
      </c>
      <c r="E133" s="62" t="s">
        <v>51</v>
      </c>
      <c r="F133" s="140">
        <v>5551</v>
      </c>
      <c r="G133" s="64">
        <v>252</v>
      </c>
      <c r="H133" s="136">
        <f>_xlfn.XLOOKUP(data[[#This Row],[Product]],products[Product],products[Cost per unit])</f>
        <v>7.16</v>
      </c>
      <c r="I133" s="81">
        <f>data[[#This Row],[Cost per unit]]*data[[#This Row],[Units]]</f>
        <v>1804.32</v>
      </c>
    </row>
    <row r="134" spans="3:9" s="1" customFormat="1">
      <c r="C134" s="90" t="s">
        <v>54</v>
      </c>
      <c r="D134" s="136" t="s">
        <v>21</v>
      </c>
      <c r="E134" s="62" t="s">
        <v>14</v>
      </c>
      <c r="F134" s="140">
        <v>6657</v>
      </c>
      <c r="G134" s="64">
        <v>303</v>
      </c>
      <c r="H134" s="136">
        <f>_xlfn.XLOOKUP(data[[#This Row],[Product]],products[Product],products[Cost per unit])</f>
        <v>8.65</v>
      </c>
      <c r="I134" s="81">
        <f>data[[#This Row],[Cost per unit]]*data[[#This Row],[Units]]</f>
        <v>2620.9500000000003</v>
      </c>
    </row>
    <row r="135" spans="3:9" s="1" customFormat="1">
      <c r="C135" s="90" t="s">
        <v>39</v>
      </c>
      <c r="D135" s="136" t="s">
        <v>26</v>
      </c>
      <c r="E135" s="62" t="s">
        <v>32</v>
      </c>
      <c r="F135" s="140">
        <v>4438</v>
      </c>
      <c r="G135" s="64">
        <v>246</v>
      </c>
      <c r="H135" s="136">
        <f>_xlfn.XLOOKUP(data[[#This Row],[Product]],products[Product],products[Cost per unit])</f>
        <v>3.11</v>
      </c>
      <c r="I135" s="81">
        <f>data[[#This Row],[Cost per unit]]*data[[#This Row],[Units]]</f>
        <v>765.06</v>
      </c>
    </row>
    <row r="136" spans="3:9" s="1" customFormat="1">
      <c r="C136" s="90" t="s">
        <v>12</v>
      </c>
      <c r="D136" s="136" t="s">
        <v>33</v>
      </c>
      <c r="E136" s="62" t="s">
        <v>36</v>
      </c>
      <c r="F136" s="140">
        <v>168</v>
      </c>
      <c r="G136" s="64">
        <v>84</v>
      </c>
      <c r="H136" s="136">
        <f>_xlfn.XLOOKUP(data[[#This Row],[Product]],products[Product],products[Cost per unit])</f>
        <v>9.77</v>
      </c>
      <c r="I136" s="81">
        <f>data[[#This Row],[Cost per unit]]*data[[#This Row],[Units]]</f>
        <v>820.68</v>
      </c>
    </row>
    <row r="137" spans="3:9" s="1" customFormat="1">
      <c r="C137" s="90" t="s">
        <v>39</v>
      </c>
      <c r="D137" s="136" t="s">
        <v>49</v>
      </c>
      <c r="E137" s="62" t="s">
        <v>32</v>
      </c>
      <c r="F137" s="140">
        <v>7777</v>
      </c>
      <c r="G137" s="64">
        <v>39</v>
      </c>
      <c r="H137" s="136">
        <f>_xlfn.XLOOKUP(data[[#This Row],[Product]],products[Product],products[Cost per unit])</f>
        <v>3.11</v>
      </c>
      <c r="I137" s="81">
        <f>data[[#This Row],[Cost per unit]]*data[[#This Row],[Units]]</f>
        <v>121.28999999999999</v>
      </c>
    </row>
    <row r="138" spans="3:9" s="1" customFormat="1">
      <c r="C138" s="90" t="s">
        <v>42</v>
      </c>
      <c r="D138" s="136" t="s">
        <v>21</v>
      </c>
      <c r="E138" s="62" t="s">
        <v>32</v>
      </c>
      <c r="F138" s="140">
        <v>3339</v>
      </c>
      <c r="G138" s="64">
        <v>348</v>
      </c>
      <c r="H138" s="136">
        <f>_xlfn.XLOOKUP(data[[#This Row],[Product]],products[Product],products[Cost per unit])</f>
        <v>3.11</v>
      </c>
      <c r="I138" s="81">
        <f>data[[#This Row],[Cost per unit]]*data[[#This Row],[Units]]</f>
        <v>1082.28</v>
      </c>
    </row>
    <row r="139" spans="3:9" s="1" customFormat="1">
      <c r="C139" s="90" t="s">
        <v>39</v>
      </c>
      <c r="D139" s="136" t="s">
        <v>8</v>
      </c>
      <c r="E139" s="62" t="s">
        <v>30</v>
      </c>
      <c r="F139" s="140">
        <v>6391</v>
      </c>
      <c r="G139" s="64">
        <v>48</v>
      </c>
      <c r="H139" s="136">
        <f>_xlfn.XLOOKUP(data[[#This Row],[Product]],products[Product],products[Cost per unit])</f>
        <v>12.37</v>
      </c>
      <c r="I139" s="81">
        <f>data[[#This Row],[Cost per unit]]*data[[#This Row],[Units]]</f>
        <v>593.76</v>
      </c>
    </row>
    <row r="140" spans="3:9" s="1" customFormat="1">
      <c r="C140" s="90" t="s">
        <v>42</v>
      </c>
      <c r="D140" s="136" t="s">
        <v>8</v>
      </c>
      <c r="E140" s="62" t="s">
        <v>36</v>
      </c>
      <c r="F140" s="140">
        <v>518</v>
      </c>
      <c r="G140" s="64">
        <v>75</v>
      </c>
      <c r="H140" s="136">
        <f>_xlfn.XLOOKUP(data[[#This Row],[Product]],products[Product],products[Cost per unit])</f>
        <v>9.77</v>
      </c>
      <c r="I140" s="81">
        <f>data[[#This Row],[Cost per unit]]*data[[#This Row],[Units]]</f>
        <v>732.75</v>
      </c>
    </row>
    <row r="141" spans="3:9" s="1" customFormat="1">
      <c r="C141" s="90" t="s">
        <v>39</v>
      </c>
      <c r="D141" s="136" t="s">
        <v>33</v>
      </c>
      <c r="E141" s="62" t="s">
        <v>53</v>
      </c>
      <c r="F141" s="140">
        <v>5677</v>
      </c>
      <c r="G141" s="64">
        <v>258</v>
      </c>
      <c r="H141" s="136">
        <f>_xlfn.XLOOKUP(data[[#This Row],[Product]],products[Product],products[Cost per unit])</f>
        <v>10.38</v>
      </c>
      <c r="I141" s="81">
        <f>data[[#This Row],[Cost per unit]]*data[[#This Row],[Units]]</f>
        <v>2678.0400000000004</v>
      </c>
    </row>
    <row r="142" spans="3:9" s="1" customFormat="1">
      <c r="C142" s="90" t="s">
        <v>25</v>
      </c>
      <c r="D142" s="136" t="s">
        <v>26</v>
      </c>
      <c r="E142" s="62" t="s">
        <v>32</v>
      </c>
      <c r="F142" s="140">
        <v>6048</v>
      </c>
      <c r="G142" s="64">
        <v>27</v>
      </c>
      <c r="H142" s="136">
        <f>_xlfn.XLOOKUP(data[[#This Row],[Product]],products[Product],products[Cost per unit])</f>
        <v>3.11</v>
      </c>
      <c r="I142" s="81">
        <f>data[[#This Row],[Cost per unit]]*data[[#This Row],[Units]]</f>
        <v>83.97</v>
      </c>
    </row>
    <row r="143" spans="3:9" s="1" customFormat="1">
      <c r="C143" s="90" t="s">
        <v>12</v>
      </c>
      <c r="D143" s="136" t="s">
        <v>33</v>
      </c>
      <c r="E143" s="62" t="s">
        <v>14</v>
      </c>
      <c r="F143" s="140">
        <v>3752</v>
      </c>
      <c r="G143" s="64">
        <v>213</v>
      </c>
      <c r="H143" s="136">
        <f>_xlfn.XLOOKUP(data[[#This Row],[Product]],products[Product],products[Cost per unit])</f>
        <v>8.65</v>
      </c>
      <c r="I143" s="81">
        <f>data[[#This Row],[Cost per unit]]*data[[#This Row],[Units]]</f>
        <v>1842.45</v>
      </c>
    </row>
    <row r="144" spans="3:9" s="1" customFormat="1">
      <c r="C144" s="90" t="s">
        <v>42</v>
      </c>
      <c r="D144" s="136" t="s">
        <v>13</v>
      </c>
      <c r="E144" s="62" t="s">
        <v>51</v>
      </c>
      <c r="F144" s="140">
        <v>4480</v>
      </c>
      <c r="G144" s="64">
        <v>357</v>
      </c>
      <c r="H144" s="136">
        <f>_xlfn.XLOOKUP(data[[#This Row],[Product]],products[Product],products[Cost per unit])</f>
        <v>7.16</v>
      </c>
      <c r="I144" s="81">
        <f>data[[#This Row],[Cost per unit]]*data[[#This Row],[Units]]</f>
        <v>2556.12</v>
      </c>
    </row>
    <row r="145" spans="3:9" s="1" customFormat="1">
      <c r="C145" s="90" t="s">
        <v>17</v>
      </c>
      <c r="D145" s="136" t="s">
        <v>8</v>
      </c>
      <c r="E145" s="62" t="s">
        <v>18</v>
      </c>
      <c r="F145" s="140">
        <v>259</v>
      </c>
      <c r="G145" s="64">
        <v>207</v>
      </c>
      <c r="H145" s="136">
        <f>_xlfn.XLOOKUP(data[[#This Row],[Product]],products[Product],products[Cost per unit])</f>
        <v>11.88</v>
      </c>
      <c r="I145" s="81">
        <f>data[[#This Row],[Cost per unit]]*data[[#This Row],[Units]]</f>
        <v>2459.1600000000003</v>
      </c>
    </row>
    <row r="146" spans="3:9" s="1" customFormat="1">
      <c r="C146" s="90" t="s">
        <v>12</v>
      </c>
      <c r="D146" s="136" t="s">
        <v>8</v>
      </c>
      <c r="E146" s="62" t="s">
        <v>9</v>
      </c>
      <c r="F146" s="140">
        <v>42</v>
      </c>
      <c r="G146" s="64">
        <v>150</v>
      </c>
      <c r="H146" s="136">
        <f>_xlfn.XLOOKUP(data[[#This Row],[Product]],products[Product],products[Cost per unit])</f>
        <v>14.49</v>
      </c>
      <c r="I146" s="81">
        <f>data[[#This Row],[Cost per unit]]*data[[#This Row],[Units]]</f>
        <v>2173.5</v>
      </c>
    </row>
    <row r="147" spans="3:9" s="1" customFormat="1">
      <c r="C147" s="90" t="s">
        <v>20</v>
      </c>
      <c r="D147" s="136" t="s">
        <v>21</v>
      </c>
      <c r="E147" s="62" t="s">
        <v>50</v>
      </c>
      <c r="F147" s="140">
        <v>98</v>
      </c>
      <c r="G147" s="64">
        <v>204</v>
      </c>
      <c r="H147" s="136">
        <f>_xlfn.XLOOKUP(data[[#This Row],[Product]],products[Product],products[Cost per unit])</f>
        <v>5.6</v>
      </c>
      <c r="I147" s="81">
        <f>data[[#This Row],[Cost per unit]]*data[[#This Row],[Units]]</f>
        <v>1142.3999999999999</v>
      </c>
    </row>
    <row r="148" spans="3:9" s="1" customFormat="1">
      <c r="C148" s="90" t="s">
        <v>39</v>
      </c>
      <c r="D148" s="136" t="s">
        <v>13</v>
      </c>
      <c r="E148" s="62" t="s">
        <v>52</v>
      </c>
      <c r="F148" s="140">
        <v>2478</v>
      </c>
      <c r="G148" s="64">
        <v>21</v>
      </c>
      <c r="H148" s="136">
        <f>_xlfn.XLOOKUP(data[[#This Row],[Product]],products[Product],products[Cost per unit])</f>
        <v>16.73</v>
      </c>
      <c r="I148" s="81">
        <f>data[[#This Row],[Cost per unit]]*data[[#This Row],[Units]]</f>
        <v>351.33</v>
      </c>
    </row>
    <row r="149" spans="3:9" s="1" customFormat="1">
      <c r="C149" s="90" t="s">
        <v>20</v>
      </c>
      <c r="D149" s="136" t="s">
        <v>49</v>
      </c>
      <c r="E149" s="62" t="s">
        <v>30</v>
      </c>
      <c r="F149" s="140">
        <v>7847</v>
      </c>
      <c r="G149" s="64">
        <v>174</v>
      </c>
      <c r="H149" s="136">
        <f>_xlfn.XLOOKUP(data[[#This Row],[Product]],products[Product],products[Cost per unit])</f>
        <v>12.37</v>
      </c>
      <c r="I149" s="81">
        <f>data[[#This Row],[Cost per unit]]*data[[#This Row],[Units]]</f>
        <v>2152.3799999999997</v>
      </c>
    </row>
    <row r="150" spans="3:9" s="1" customFormat="1">
      <c r="C150" s="90" t="s">
        <v>45</v>
      </c>
      <c r="D150" s="136" t="s">
        <v>8</v>
      </c>
      <c r="E150" s="62" t="s">
        <v>32</v>
      </c>
      <c r="F150" s="140">
        <v>9926</v>
      </c>
      <c r="G150" s="64">
        <v>201</v>
      </c>
      <c r="H150" s="136">
        <f>_xlfn.XLOOKUP(data[[#This Row],[Product]],products[Product],products[Cost per unit])</f>
        <v>3.11</v>
      </c>
      <c r="I150" s="81">
        <f>data[[#This Row],[Cost per unit]]*data[[#This Row],[Units]]</f>
        <v>625.11</v>
      </c>
    </row>
    <row r="151" spans="3:9" s="1" customFormat="1">
      <c r="C151" s="90" t="s">
        <v>12</v>
      </c>
      <c r="D151" s="136" t="s">
        <v>33</v>
      </c>
      <c r="E151" s="62" t="s">
        <v>11</v>
      </c>
      <c r="F151" s="140">
        <v>819</v>
      </c>
      <c r="G151" s="64">
        <v>510</v>
      </c>
      <c r="H151" s="136">
        <f>_xlfn.XLOOKUP(data[[#This Row],[Product]],products[Product],products[Cost per unit])</f>
        <v>9.33</v>
      </c>
      <c r="I151" s="81">
        <f>data[[#This Row],[Cost per unit]]*data[[#This Row],[Units]]</f>
        <v>4758.3</v>
      </c>
    </row>
    <row r="152" spans="3:9" s="1" customFormat="1">
      <c r="C152" s="90" t="s">
        <v>25</v>
      </c>
      <c r="D152" s="136" t="s">
        <v>26</v>
      </c>
      <c r="E152" s="62" t="s">
        <v>51</v>
      </c>
      <c r="F152" s="140">
        <v>3052</v>
      </c>
      <c r="G152" s="64">
        <v>378</v>
      </c>
      <c r="H152" s="136">
        <f>_xlfn.XLOOKUP(data[[#This Row],[Product]],products[Product],products[Cost per unit])</f>
        <v>7.16</v>
      </c>
      <c r="I152" s="81">
        <f>data[[#This Row],[Cost per unit]]*data[[#This Row],[Units]]</f>
        <v>2706.48</v>
      </c>
    </row>
    <row r="153" spans="3:9" s="1" customFormat="1">
      <c r="C153" s="90" t="s">
        <v>17</v>
      </c>
      <c r="D153" s="136" t="s">
        <v>49</v>
      </c>
      <c r="E153" s="62" t="s">
        <v>44</v>
      </c>
      <c r="F153" s="140">
        <v>6832</v>
      </c>
      <c r="G153" s="64">
        <v>27</v>
      </c>
      <c r="H153" s="136">
        <f>_xlfn.XLOOKUP(data[[#This Row],[Product]],products[Product],products[Cost per unit])</f>
        <v>9</v>
      </c>
      <c r="I153" s="81">
        <f>data[[#This Row],[Cost per unit]]*data[[#This Row],[Units]]</f>
        <v>243</v>
      </c>
    </row>
    <row r="154" spans="3:9" s="1" customFormat="1">
      <c r="C154" s="90" t="s">
        <v>45</v>
      </c>
      <c r="D154" s="136" t="s">
        <v>26</v>
      </c>
      <c r="E154" s="62" t="s">
        <v>29</v>
      </c>
      <c r="F154" s="140">
        <v>2016</v>
      </c>
      <c r="G154" s="64">
        <v>117</v>
      </c>
      <c r="H154" s="136">
        <f>_xlfn.XLOOKUP(data[[#This Row],[Product]],products[Product],products[Cost per unit])</f>
        <v>8.7899999999999991</v>
      </c>
      <c r="I154" s="81">
        <f>data[[#This Row],[Cost per unit]]*data[[#This Row],[Units]]</f>
        <v>1028.4299999999998</v>
      </c>
    </row>
    <row r="155" spans="3:9" s="1" customFormat="1">
      <c r="C155" s="90" t="s">
        <v>25</v>
      </c>
      <c r="D155" s="136" t="s">
        <v>33</v>
      </c>
      <c r="E155" s="62" t="s">
        <v>44</v>
      </c>
      <c r="F155" s="140">
        <v>7322</v>
      </c>
      <c r="G155" s="64">
        <v>36</v>
      </c>
      <c r="H155" s="136">
        <f>_xlfn.XLOOKUP(data[[#This Row],[Product]],products[Product],products[Cost per unit])</f>
        <v>9</v>
      </c>
      <c r="I155" s="81">
        <f>data[[#This Row],[Cost per unit]]*data[[#This Row],[Units]]</f>
        <v>324</v>
      </c>
    </row>
    <row r="156" spans="3:9" s="1" customFormat="1">
      <c r="C156" s="90" t="s">
        <v>12</v>
      </c>
      <c r="D156" s="136" t="s">
        <v>13</v>
      </c>
      <c r="E156" s="62" t="s">
        <v>30</v>
      </c>
      <c r="F156" s="140">
        <v>357</v>
      </c>
      <c r="G156" s="64">
        <v>126</v>
      </c>
      <c r="H156" s="136">
        <f>_xlfn.XLOOKUP(data[[#This Row],[Product]],products[Product],products[Cost per unit])</f>
        <v>12.37</v>
      </c>
      <c r="I156" s="81">
        <f>data[[#This Row],[Cost per unit]]*data[[#This Row],[Units]]</f>
        <v>1558.62</v>
      </c>
    </row>
    <row r="157" spans="3:9" s="1" customFormat="1">
      <c r="C157" s="90" t="s">
        <v>17</v>
      </c>
      <c r="D157" s="136" t="s">
        <v>26</v>
      </c>
      <c r="E157" s="62" t="s">
        <v>27</v>
      </c>
      <c r="F157" s="140">
        <v>3192</v>
      </c>
      <c r="G157" s="64">
        <v>72</v>
      </c>
      <c r="H157" s="136">
        <f>_xlfn.XLOOKUP(data[[#This Row],[Product]],products[Product],products[Cost per unit])</f>
        <v>13.15</v>
      </c>
      <c r="I157" s="81">
        <f>data[[#This Row],[Cost per unit]]*data[[#This Row],[Units]]</f>
        <v>946.80000000000007</v>
      </c>
    </row>
    <row r="158" spans="3:9" s="1" customFormat="1">
      <c r="C158" s="90" t="s">
        <v>39</v>
      </c>
      <c r="D158" s="136" t="s">
        <v>21</v>
      </c>
      <c r="E158" s="62" t="s">
        <v>36</v>
      </c>
      <c r="F158" s="140">
        <v>8435</v>
      </c>
      <c r="G158" s="64">
        <v>42</v>
      </c>
      <c r="H158" s="136">
        <f>_xlfn.XLOOKUP(data[[#This Row],[Product]],products[Product],products[Cost per unit])</f>
        <v>9.77</v>
      </c>
      <c r="I158" s="81">
        <f>data[[#This Row],[Cost per unit]]*data[[#This Row],[Units]]</f>
        <v>410.34</v>
      </c>
    </row>
    <row r="159" spans="3:9" s="1" customFormat="1">
      <c r="C159" s="90" t="s">
        <v>7</v>
      </c>
      <c r="D159" s="136" t="s">
        <v>26</v>
      </c>
      <c r="E159" s="62" t="s">
        <v>51</v>
      </c>
      <c r="F159" s="140">
        <v>0</v>
      </c>
      <c r="G159" s="64">
        <v>135</v>
      </c>
      <c r="H159" s="136">
        <f>_xlfn.XLOOKUP(data[[#This Row],[Product]],products[Product],products[Cost per unit])</f>
        <v>7.16</v>
      </c>
      <c r="I159" s="81">
        <f>data[[#This Row],[Cost per unit]]*data[[#This Row],[Units]]</f>
        <v>966.6</v>
      </c>
    </row>
    <row r="160" spans="3:9" s="1" customFormat="1">
      <c r="C160" s="90" t="s">
        <v>39</v>
      </c>
      <c r="D160" s="136" t="s">
        <v>49</v>
      </c>
      <c r="E160" s="62" t="s">
        <v>48</v>
      </c>
      <c r="F160" s="140">
        <v>8862</v>
      </c>
      <c r="G160" s="64">
        <v>189</v>
      </c>
      <c r="H160" s="136">
        <f>_xlfn.XLOOKUP(data[[#This Row],[Product]],products[Product],products[Cost per unit])</f>
        <v>4.97</v>
      </c>
      <c r="I160" s="81">
        <f>data[[#This Row],[Cost per unit]]*data[[#This Row],[Units]]</f>
        <v>939.32999999999993</v>
      </c>
    </row>
    <row r="161" spans="3:9" s="1" customFormat="1">
      <c r="C161" s="90" t="s">
        <v>25</v>
      </c>
      <c r="D161" s="136" t="s">
        <v>8</v>
      </c>
      <c r="E161" s="62" t="s">
        <v>53</v>
      </c>
      <c r="F161" s="140">
        <v>3556</v>
      </c>
      <c r="G161" s="64">
        <v>459</v>
      </c>
      <c r="H161" s="136">
        <f>_xlfn.XLOOKUP(data[[#This Row],[Product]],products[Product],products[Cost per unit])</f>
        <v>10.38</v>
      </c>
      <c r="I161" s="81">
        <f>data[[#This Row],[Cost per unit]]*data[[#This Row],[Units]]</f>
        <v>4764.42</v>
      </c>
    </row>
    <row r="162" spans="3:9" s="1" customFormat="1">
      <c r="C162" s="90" t="s">
        <v>42</v>
      </c>
      <c r="D162" s="136" t="s">
        <v>49</v>
      </c>
      <c r="E162" s="62" t="s">
        <v>24</v>
      </c>
      <c r="F162" s="140">
        <v>7280</v>
      </c>
      <c r="G162" s="64">
        <v>201</v>
      </c>
      <c r="H162" s="136">
        <f>_xlfn.XLOOKUP(data[[#This Row],[Product]],products[Product],products[Cost per unit])</f>
        <v>11.73</v>
      </c>
      <c r="I162" s="81">
        <f>data[[#This Row],[Cost per unit]]*data[[#This Row],[Units]]</f>
        <v>2357.73</v>
      </c>
    </row>
    <row r="163" spans="3:9" s="1" customFormat="1">
      <c r="C163" s="90" t="s">
        <v>25</v>
      </c>
      <c r="D163" s="136" t="s">
        <v>49</v>
      </c>
      <c r="E163" s="62" t="s">
        <v>9</v>
      </c>
      <c r="F163" s="140">
        <v>3402</v>
      </c>
      <c r="G163" s="64">
        <v>366</v>
      </c>
      <c r="H163" s="136">
        <f>_xlfn.XLOOKUP(data[[#This Row],[Product]],products[Product],products[Cost per unit])</f>
        <v>14.49</v>
      </c>
      <c r="I163" s="81">
        <f>data[[#This Row],[Cost per unit]]*data[[#This Row],[Units]]</f>
        <v>5303.34</v>
      </c>
    </row>
    <row r="164" spans="3:9" s="1" customFormat="1">
      <c r="C164" s="90" t="s">
        <v>46</v>
      </c>
      <c r="D164" s="136" t="s">
        <v>8</v>
      </c>
      <c r="E164" s="62" t="s">
        <v>51</v>
      </c>
      <c r="F164" s="140">
        <v>4592</v>
      </c>
      <c r="G164" s="64">
        <v>324</v>
      </c>
      <c r="H164" s="136">
        <f>_xlfn.XLOOKUP(data[[#This Row],[Product]],products[Product],products[Cost per unit])</f>
        <v>7.16</v>
      </c>
      <c r="I164" s="81">
        <f>data[[#This Row],[Cost per unit]]*data[[#This Row],[Units]]</f>
        <v>2319.84</v>
      </c>
    </row>
    <row r="165" spans="3:9" s="1" customFormat="1">
      <c r="C165" s="90" t="s">
        <v>17</v>
      </c>
      <c r="D165" s="136" t="s">
        <v>13</v>
      </c>
      <c r="E165" s="62" t="s">
        <v>24</v>
      </c>
      <c r="F165" s="140">
        <v>7833</v>
      </c>
      <c r="G165" s="64">
        <v>243</v>
      </c>
      <c r="H165" s="136">
        <f>_xlfn.XLOOKUP(data[[#This Row],[Product]],products[Product],products[Cost per unit])</f>
        <v>11.73</v>
      </c>
      <c r="I165" s="81">
        <f>data[[#This Row],[Cost per unit]]*data[[#This Row],[Units]]</f>
        <v>2850.3900000000003</v>
      </c>
    </row>
    <row r="166" spans="3:9" s="1" customFormat="1">
      <c r="C166" s="90" t="s">
        <v>45</v>
      </c>
      <c r="D166" s="136" t="s">
        <v>26</v>
      </c>
      <c r="E166" s="62" t="s">
        <v>44</v>
      </c>
      <c r="F166" s="140">
        <v>7651</v>
      </c>
      <c r="G166" s="64">
        <v>213</v>
      </c>
      <c r="H166" s="136">
        <f>_xlfn.XLOOKUP(data[[#This Row],[Product]],products[Product],products[Cost per unit])</f>
        <v>9</v>
      </c>
      <c r="I166" s="81">
        <f>data[[#This Row],[Cost per unit]]*data[[#This Row],[Units]]</f>
        <v>1917</v>
      </c>
    </row>
    <row r="167" spans="3:9" s="1" customFormat="1">
      <c r="C167" s="90" t="s">
        <v>7</v>
      </c>
      <c r="D167" s="136" t="s">
        <v>13</v>
      </c>
      <c r="E167" s="62" t="s">
        <v>9</v>
      </c>
      <c r="F167" s="140">
        <v>2275</v>
      </c>
      <c r="G167" s="64">
        <v>447</v>
      </c>
      <c r="H167" s="136">
        <f>_xlfn.XLOOKUP(data[[#This Row],[Product]],products[Product],products[Cost per unit])</f>
        <v>14.49</v>
      </c>
      <c r="I167" s="81">
        <f>data[[#This Row],[Cost per unit]]*data[[#This Row],[Units]]</f>
        <v>6477.03</v>
      </c>
    </row>
    <row r="168" spans="3:9" s="1" customFormat="1">
      <c r="C168" s="90" t="s">
        <v>7</v>
      </c>
      <c r="D168" s="136" t="s">
        <v>33</v>
      </c>
      <c r="E168" s="62" t="s">
        <v>11</v>
      </c>
      <c r="F168" s="140">
        <v>5670</v>
      </c>
      <c r="G168" s="64">
        <v>297</v>
      </c>
      <c r="H168" s="136">
        <f>_xlfn.XLOOKUP(data[[#This Row],[Product]],products[Product],products[Cost per unit])</f>
        <v>9.33</v>
      </c>
      <c r="I168" s="81">
        <f>data[[#This Row],[Cost per unit]]*data[[#This Row],[Units]]</f>
        <v>2771.01</v>
      </c>
    </row>
    <row r="169" spans="3:9" s="1" customFormat="1">
      <c r="C169" s="90" t="s">
        <v>39</v>
      </c>
      <c r="D169" s="136" t="s">
        <v>13</v>
      </c>
      <c r="E169" s="62" t="s">
        <v>29</v>
      </c>
      <c r="F169" s="140">
        <v>2135</v>
      </c>
      <c r="G169" s="64">
        <v>27</v>
      </c>
      <c r="H169" s="136">
        <f>_xlfn.XLOOKUP(data[[#This Row],[Product]],products[Product],products[Cost per unit])</f>
        <v>8.7899999999999991</v>
      </c>
      <c r="I169" s="81">
        <f>data[[#This Row],[Cost per unit]]*data[[#This Row],[Units]]</f>
        <v>237.32999999999998</v>
      </c>
    </row>
    <row r="170" spans="3:9" s="1" customFormat="1">
      <c r="C170" s="90" t="s">
        <v>7</v>
      </c>
      <c r="D170" s="136" t="s">
        <v>49</v>
      </c>
      <c r="E170" s="62" t="s">
        <v>47</v>
      </c>
      <c r="F170" s="140">
        <v>2779</v>
      </c>
      <c r="G170" s="64">
        <v>75</v>
      </c>
      <c r="H170" s="136">
        <f>_xlfn.XLOOKUP(data[[#This Row],[Product]],products[Product],products[Cost per unit])</f>
        <v>6.49</v>
      </c>
      <c r="I170" s="81">
        <f>data[[#This Row],[Cost per unit]]*data[[#This Row],[Units]]</f>
        <v>486.75</v>
      </c>
    </row>
    <row r="171" spans="3:9" s="1" customFormat="1">
      <c r="C171" s="90" t="s">
        <v>54</v>
      </c>
      <c r="D171" s="136" t="s">
        <v>26</v>
      </c>
      <c r="E171" s="62" t="s">
        <v>30</v>
      </c>
      <c r="F171" s="140">
        <v>12950</v>
      </c>
      <c r="G171" s="64">
        <v>30</v>
      </c>
      <c r="H171" s="136">
        <f>_xlfn.XLOOKUP(data[[#This Row],[Product]],products[Product],products[Cost per unit])</f>
        <v>12.37</v>
      </c>
      <c r="I171" s="81">
        <f>data[[#This Row],[Cost per unit]]*data[[#This Row],[Units]]</f>
        <v>371.09999999999997</v>
      </c>
    </row>
    <row r="172" spans="3:9" s="1" customFormat="1">
      <c r="C172" s="90" t="s">
        <v>39</v>
      </c>
      <c r="D172" s="136" t="s">
        <v>21</v>
      </c>
      <c r="E172" s="62" t="s">
        <v>22</v>
      </c>
      <c r="F172" s="140">
        <v>2646</v>
      </c>
      <c r="G172" s="64">
        <v>177</v>
      </c>
      <c r="H172" s="136">
        <f>_xlfn.XLOOKUP(data[[#This Row],[Product]],products[Product],products[Cost per unit])</f>
        <v>6.47</v>
      </c>
      <c r="I172" s="81">
        <f>data[[#This Row],[Cost per unit]]*data[[#This Row],[Units]]</f>
        <v>1145.19</v>
      </c>
    </row>
    <row r="173" spans="3:9" s="1" customFormat="1">
      <c r="C173" s="90" t="s">
        <v>7</v>
      </c>
      <c r="D173" s="136" t="s">
        <v>49</v>
      </c>
      <c r="E173" s="62" t="s">
        <v>30</v>
      </c>
      <c r="F173" s="140">
        <v>3794</v>
      </c>
      <c r="G173" s="64">
        <v>159</v>
      </c>
      <c r="H173" s="136">
        <f>_xlfn.XLOOKUP(data[[#This Row],[Product]],products[Product],products[Cost per unit])</f>
        <v>12.37</v>
      </c>
      <c r="I173" s="81">
        <f>data[[#This Row],[Cost per unit]]*data[[#This Row],[Units]]</f>
        <v>1966.83</v>
      </c>
    </row>
    <row r="174" spans="3:9" s="1" customFormat="1">
      <c r="C174" s="90" t="s">
        <v>46</v>
      </c>
      <c r="D174" s="136" t="s">
        <v>13</v>
      </c>
      <c r="E174" s="62" t="s">
        <v>30</v>
      </c>
      <c r="F174" s="140">
        <v>819</v>
      </c>
      <c r="G174" s="64">
        <v>306</v>
      </c>
      <c r="H174" s="136">
        <f>_xlfn.XLOOKUP(data[[#This Row],[Product]],products[Product],products[Cost per unit])</f>
        <v>12.37</v>
      </c>
      <c r="I174" s="81">
        <f>data[[#This Row],[Cost per unit]]*data[[#This Row],[Units]]</f>
        <v>3785.22</v>
      </c>
    </row>
    <row r="175" spans="3:9" s="1" customFormat="1">
      <c r="C175" s="90" t="s">
        <v>46</v>
      </c>
      <c r="D175" s="136" t="s">
        <v>49</v>
      </c>
      <c r="E175" s="62" t="s">
        <v>41</v>
      </c>
      <c r="F175" s="140">
        <v>2583</v>
      </c>
      <c r="G175" s="64">
        <v>18</v>
      </c>
      <c r="H175" s="136">
        <f>_xlfn.XLOOKUP(data[[#This Row],[Product]],products[Product],products[Cost per unit])</f>
        <v>10.62</v>
      </c>
      <c r="I175" s="81">
        <f>data[[#This Row],[Cost per unit]]*data[[#This Row],[Units]]</f>
        <v>191.16</v>
      </c>
    </row>
    <row r="176" spans="3:9" s="1" customFormat="1">
      <c r="C176" s="90" t="s">
        <v>39</v>
      </c>
      <c r="D176" s="136" t="s">
        <v>13</v>
      </c>
      <c r="E176" s="62" t="s">
        <v>38</v>
      </c>
      <c r="F176" s="140">
        <v>4585</v>
      </c>
      <c r="G176" s="64">
        <v>240</v>
      </c>
      <c r="H176" s="136">
        <f>_xlfn.XLOOKUP(data[[#This Row],[Product]],products[Product],products[Cost per unit])</f>
        <v>7.64</v>
      </c>
      <c r="I176" s="81">
        <f>data[[#This Row],[Cost per unit]]*data[[#This Row],[Units]]</f>
        <v>1833.6</v>
      </c>
    </row>
    <row r="177" spans="3:9" s="1" customFormat="1">
      <c r="C177" s="90" t="s">
        <v>42</v>
      </c>
      <c r="D177" s="136" t="s">
        <v>49</v>
      </c>
      <c r="E177" s="62" t="s">
        <v>30</v>
      </c>
      <c r="F177" s="140">
        <v>1652</v>
      </c>
      <c r="G177" s="64">
        <v>93</v>
      </c>
      <c r="H177" s="136">
        <f>_xlfn.XLOOKUP(data[[#This Row],[Product]],products[Product],products[Cost per unit])</f>
        <v>12.37</v>
      </c>
      <c r="I177" s="81">
        <f>data[[#This Row],[Cost per unit]]*data[[#This Row],[Units]]</f>
        <v>1150.4099999999999</v>
      </c>
    </row>
    <row r="178" spans="3:9" s="1" customFormat="1">
      <c r="C178" s="90" t="s">
        <v>54</v>
      </c>
      <c r="D178" s="136" t="s">
        <v>49</v>
      </c>
      <c r="E178" s="62" t="s">
        <v>50</v>
      </c>
      <c r="F178" s="140">
        <v>4991</v>
      </c>
      <c r="G178" s="64">
        <v>9</v>
      </c>
      <c r="H178" s="136">
        <f>_xlfn.XLOOKUP(data[[#This Row],[Product]],products[Product],products[Cost per unit])</f>
        <v>5.6</v>
      </c>
      <c r="I178" s="81">
        <f>data[[#This Row],[Cost per unit]]*data[[#This Row],[Units]]</f>
        <v>50.4</v>
      </c>
    </row>
    <row r="179" spans="3:9" s="1" customFormat="1">
      <c r="C179" s="90" t="s">
        <v>12</v>
      </c>
      <c r="D179" s="136" t="s">
        <v>49</v>
      </c>
      <c r="E179" s="62" t="s">
        <v>29</v>
      </c>
      <c r="F179" s="140">
        <v>2009</v>
      </c>
      <c r="G179" s="64">
        <v>219</v>
      </c>
      <c r="H179" s="136">
        <f>_xlfn.XLOOKUP(data[[#This Row],[Product]],products[Product],products[Cost per unit])</f>
        <v>8.7899999999999991</v>
      </c>
      <c r="I179" s="81">
        <f>data[[#This Row],[Cost per unit]]*data[[#This Row],[Units]]</f>
        <v>1925.0099999999998</v>
      </c>
    </row>
    <row r="180" spans="3:9" s="1" customFormat="1">
      <c r="C180" s="90" t="s">
        <v>45</v>
      </c>
      <c r="D180" s="136" t="s">
        <v>26</v>
      </c>
      <c r="E180" s="62" t="s">
        <v>36</v>
      </c>
      <c r="F180" s="140">
        <v>1568</v>
      </c>
      <c r="G180" s="64">
        <v>141</v>
      </c>
      <c r="H180" s="136">
        <f>_xlfn.XLOOKUP(data[[#This Row],[Product]],products[Product],products[Cost per unit])</f>
        <v>9.77</v>
      </c>
      <c r="I180" s="81">
        <f>data[[#This Row],[Cost per unit]]*data[[#This Row],[Units]]</f>
        <v>1377.57</v>
      </c>
    </row>
    <row r="181" spans="3:9" s="1" customFormat="1">
      <c r="C181" s="90" t="s">
        <v>20</v>
      </c>
      <c r="D181" s="136" t="s">
        <v>8</v>
      </c>
      <c r="E181" s="62" t="s">
        <v>41</v>
      </c>
      <c r="F181" s="140">
        <v>3388</v>
      </c>
      <c r="G181" s="64">
        <v>123</v>
      </c>
      <c r="H181" s="136">
        <f>_xlfn.XLOOKUP(data[[#This Row],[Product]],products[Product],products[Cost per unit])</f>
        <v>10.62</v>
      </c>
      <c r="I181" s="81">
        <f>data[[#This Row],[Cost per unit]]*data[[#This Row],[Units]]</f>
        <v>1306.26</v>
      </c>
    </row>
    <row r="182" spans="3:9" s="1" customFormat="1">
      <c r="C182" s="90" t="s">
        <v>7</v>
      </c>
      <c r="D182" s="136" t="s">
        <v>33</v>
      </c>
      <c r="E182" s="62" t="s">
        <v>48</v>
      </c>
      <c r="F182" s="140">
        <v>623</v>
      </c>
      <c r="G182" s="64">
        <v>51</v>
      </c>
      <c r="H182" s="136">
        <f>_xlfn.XLOOKUP(data[[#This Row],[Product]],products[Product],products[Cost per unit])</f>
        <v>4.97</v>
      </c>
      <c r="I182" s="81">
        <f>data[[#This Row],[Cost per unit]]*data[[#This Row],[Units]]</f>
        <v>253.47</v>
      </c>
    </row>
    <row r="183" spans="3:9" s="1" customFormat="1">
      <c r="C183" s="90" t="s">
        <v>25</v>
      </c>
      <c r="D183" s="136" t="s">
        <v>21</v>
      </c>
      <c r="E183" s="62" t="s">
        <v>18</v>
      </c>
      <c r="F183" s="140">
        <v>10073</v>
      </c>
      <c r="G183" s="64">
        <v>120</v>
      </c>
      <c r="H183" s="136">
        <f>_xlfn.XLOOKUP(data[[#This Row],[Product]],products[Product],products[Cost per unit])</f>
        <v>11.88</v>
      </c>
      <c r="I183" s="81">
        <f>data[[#This Row],[Cost per unit]]*data[[#This Row],[Units]]</f>
        <v>1425.6000000000001</v>
      </c>
    </row>
    <row r="184" spans="3:9" s="1" customFormat="1">
      <c r="C184" s="90" t="s">
        <v>12</v>
      </c>
      <c r="D184" s="136" t="s">
        <v>26</v>
      </c>
      <c r="E184" s="62" t="s">
        <v>50</v>
      </c>
      <c r="F184" s="140">
        <v>1561</v>
      </c>
      <c r="G184" s="64">
        <v>27</v>
      </c>
      <c r="H184" s="136">
        <f>_xlfn.XLOOKUP(data[[#This Row],[Product]],products[Product],products[Cost per unit])</f>
        <v>5.6</v>
      </c>
      <c r="I184" s="81">
        <f>data[[#This Row],[Cost per unit]]*data[[#This Row],[Units]]</f>
        <v>151.19999999999999</v>
      </c>
    </row>
    <row r="185" spans="3:9" s="1" customFormat="1">
      <c r="C185" s="90" t="s">
        <v>17</v>
      </c>
      <c r="D185" s="136" t="s">
        <v>21</v>
      </c>
      <c r="E185" s="62" t="s">
        <v>52</v>
      </c>
      <c r="F185" s="140">
        <v>11522</v>
      </c>
      <c r="G185" s="64">
        <v>204</v>
      </c>
      <c r="H185" s="136">
        <f>_xlfn.XLOOKUP(data[[#This Row],[Product]],products[Product],products[Cost per unit])</f>
        <v>16.73</v>
      </c>
      <c r="I185" s="81">
        <f>data[[#This Row],[Cost per unit]]*data[[#This Row],[Units]]</f>
        <v>3412.92</v>
      </c>
    </row>
    <row r="186" spans="3:9" s="1" customFormat="1">
      <c r="C186" s="90" t="s">
        <v>25</v>
      </c>
      <c r="D186" s="136" t="s">
        <v>33</v>
      </c>
      <c r="E186" s="62" t="s">
        <v>11</v>
      </c>
      <c r="F186" s="140">
        <v>2317</v>
      </c>
      <c r="G186" s="64">
        <v>123</v>
      </c>
      <c r="H186" s="136">
        <f>_xlfn.XLOOKUP(data[[#This Row],[Product]],products[Product],products[Cost per unit])</f>
        <v>9.33</v>
      </c>
      <c r="I186" s="81">
        <f>data[[#This Row],[Cost per unit]]*data[[#This Row],[Units]]</f>
        <v>1147.5899999999999</v>
      </c>
    </row>
    <row r="187" spans="3:9" s="1" customFormat="1">
      <c r="C187" s="90" t="s">
        <v>54</v>
      </c>
      <c r="D187" s="136" t="s">
        <v>8</v>
      </c>
      <c r="E187" s="62" t="s">
        <v>53</v>
      </c>
      <c r="F187" s="140">
        <v>3059</v>
      </c>
      <c r="G187" s="64">
        <v>27</v>
      </c>
      <c r="H187" s="136">
        <f>_xlfn.XLOOKUP(data[[#This Row],[Product]],products[Product],products[Cost per unit])</f>
        <v>10.38</v>
      </c>
      <c r="I187" s="81">
        <f>data[[#This Row],[Cost per unit]]*data[[#This Row],[Units]]</f>
        <v>280.26000000000005</v>
      </c>
    </row>
    <row r="188" spans="3:9" s="1" customFormat="1">
      <c r="C188" s="90" t="s">
        <v>20</v>
      </c>
      <c r="D188" s="136" t="s">
        <v>8</v>
      </c>
      <c r="E188" s="62" t="s">
        <v>50</v>
      </c>
      <c r="F188" s="140">
        <v>2324</v>
      </c>
      <c r="G188" s="64">
        <v>177</v>
      </c>
      <c r="H188" s="136">
        <f>_xlfn.XLOOKUP(data[[#This Row],[Product]],products[Product],products[Cost per unit])</f>
        <v>5.6</v>
      </c>
      <c r="I188" s="81">
        <f>data[[#This Row],[Cost per unit]]*data[[#This Row],[Units]]</f>
        <v>991.19999999999993</v>
      </c>
    </row>
    <row r="189" spans="3:9" s="1" customFormat="1">
      <c r="C189" s="90" t="s">
        <v>46</v>
      </c>
      <c r="D189" s="136" t="s">
        <v>26</v>
      </c>
      <c r="E189" s="62" t="s">
        <v>50</v>
      </c>
      <c r="F189" s="140">
        <v>4956</v>
      </c>
      <c r="G189" s="64">
        <v>171</v>
      </c>
      <c r="H189" s="136">
        <f>_xlfn.XLOOKUP(data[[#This Row],[Product]],products[Product],products[Cost per unit])</f>
        <v>5.6</v>
      </c>
      <c r="I189" s="81">
        <f>data[[#This Row],[Cost per unit]]*data[[#This Row],[Units]]</f>
        <v>957.59999999999991</v>
      </c>
    </row>
    <row r="190" spans="3:9" s="1" customFormat="1">
      <c r="C190" s="90" t="s">
        <v>54</v>
      </c>
      <c r="D190" s="136" t="s">
        <v>49</v>
      </c>
      <c r="E190" s="62" t="s">
        <v>38</v>
      </c>
      <c r="F190" s="140">
        <v>5355</v>
      </c>
      <c r="G190" s="64">
        <v>204</v>
      </c>
      <c r="H190" s="136">
        <f>_xlfn.XLOOKUP(data[[#This Row],[Product]],products[Product],products[Cost per unit])</f>
        <v>7.64</v>
      </c>
      <c r="I190" s="81">
        <f>data[[#This Row],[Cost per unit]]*data[[#This Row],[Units]]</f>
        <v>1558.56</v>
      </c>
    </row>
    <row r="191" spans="3:9" s="1" customFormat="1">
      <c r="C191" s="90" t="s">
        <v>46</v>
      </c>
      <c r="D191" s="136" t="s">
        <v>49</v>
      </c>
      <c r="E191" s="62" t="s">
        <v>16</v>
      </c>
      <c r="F191" s="140">
        <v>7259</v>
      </c>
      <c r="G191" s="64">
        <v>276</v>
      </c>
      <c r="H191" s="136">
        <f>_xlfn.XLOOKUP(data[[#This Row],[Product]],products[Product],products[Cost per unit])</f>
        <v>11.7</v>
      </c>
      <c r="I191" s="81">
        <f>data[[#This Row],[Cost per unit]]*data[[#This Row],[Units]]</f>
        <v>3229.2</v>
      </c>
    </row>
    <row r="192" spans="3:9" s="1" customFormat="1">
      <c r="C192" s="90" t="s">
        <v>12</v>
      </c>
      <c r="D192" s="136" t="s">
        <v>8</v>
      </c>
      <c r="E192" s="62" t="s">
        <v>50</v>
      </c>
      <c r="F192" s="140">
        <v>6279</v>
      </c>
      <c r="G192" s="64">
        <v>45</v>
      </c>
      <c r="H192" s="136">
        <f>_xlfn.XLOOKUP(data[[#This Row],[Product]],products[Product],products[Cost per unit])</f>
        <v>5.6</v>
      </c>
      <c r="I192" s="81">
        <f>data[[#This Row],[Cost per unit]]*data[[#This Row],[Units]]</f>
        <v>251.99999999999997</v>
      </c>
    </row>
    <row r="193" spans="3:9" s="1" customFormat="1">
      <c r="C193" s="90" t="s">
        <v>7</v>
      </c>
      <c r="D193" s="136" t="s">
        <v>33</v>
      </c>
      <c r="E193" s="62" t="s">
        <v>51</v>
      </c>
      <c r="F193" s="140">
        <v>2541</v>
      </c>
      <c r="G193" s="64">
        <v>45</v>
      </c>
      <c r="H193" s="136">
        <f>_xlfn.XLOOKUP(data[[#This Row],[Product]],products[Product],products[Cost per unit])</f>
        <v>7.16</v>
      </c>
      <c r="I193" s="81">
        <f>data[[#This Row],[Cost per unit]]*data[[#This Row],[Units]]</f>
        <v>322.2</v>
      </c>
    </row>
    <row r="194" spans="3:9" s="1" customFormat="1">
      <c r="C194" s="90" t="s">
        <v>25</v>
      </c>
      <c r="D194" s="136" t="s">
        <v>13</v>
      </c>
      <c r="E194" s="62" t="s">
        <v>52</v>
      </c>
      <c r="F194" s="140">
        <v>3864</v>
      </c>
      <c r="G194" s="64">
        <v>177</v>
      </c>
      <c r="H194" s="136">
        <f>_xlfn.XLOOKUP(data[[#This Row],[Product]],products[Product],products[Cost per unit])</f>
        <v>16.73</v>
      </c>
      <c r="I194" s="81">
        <f>data[[#This Row],[Cost per unit]]*data[[#This Row],[Units]]</f>
        <v>2961.21</v>
      </c>
    </row>
    <row r="195" spans="3:9" s="1" customFormat="1">
      <c r="C195" s="90" t="s">
        <v>42</v>
      </c>
      <c r="D195" s="136" t="s">
        <v>21</v>
      </c>
      <c r="E195" s="62" t="s">
        <v>11</v>
      </c>
      <c r="F195" s="140">
        <v>6146</v>
      </c>
      <c r="G195" s="64">
        <v>63</v>
      </c>
      <c r="H195" s="136">
        <f>_xlfn.XLOOKUP(data[[#This Row],[Product]],products[Product],products[Cost per unit])</f>
        <v>9.33</v>
      </c>
      <c r="I195" s="81">
        <f>data[[#This Row],[Cost per unit]]*data[[#This Row],[Units]]</f>
        <v>587.79</v>
      </c>
    </row>
    <row r="196" spans="3:9" s="1" customFormat="1">
      <c r="C196" s="90" t="s">
        <v>17</v>
      </c>
      <c r="D196" s="136" t="s">
        <v>26</v>
      </c>
      <c r="E196" s="62" t="s">
        <v>22</v>
      </c>
      <c r="F196" s="140">
        <v>2639</v>
      </c>
      <c r="G196" s="64">
        <v>204</v>
      </c>
      <c r="H196" s="136">
        <f>_xlfn.XLOOKUP(data[[#This Row],[Product]],products[Product],products[Cost per unit])</f>
        <v>6.47</v>
      </c>
      <c r="I196" s="81">
        <f>data[[#This Row],[Cost per unit]]*data[[#This Row],[Units]]</f>
        <v>1319.8799999999999</v>
      </c>
    </row>
    <row r="197" spans="3:9" s="1" customFormat="1">
      <c r="C197" s="90" t="s">
        <v>12</v>
      </c>
      <c r="D197" s="136" t="s">
        <v>8</v>
      </c>
      <c r="E197" s="62" t="s">
        <v>36</v>
      </c>
      <c r="F197" s="140">
        <v>1890</v>
      </c>
      <c r="G197" s="64">
        <v>195</v>
      </c>
      <c r="H197" s="136">
        <f>_xlfn.XLOOKUP(data[[#This Row],[Product]],products[Product],products[Cost per unit])</f>
        <v>9.77</v>
      </c>
      <c r="I197" s="81">
        <f>data[[#This Row],[Cost per unit]]*data[[#This Row],[Units]]</f>
        <v>1905.1499999999999</v>
      </c>
    </row>
    <row r="198" spans="3:9" s="1" customFormat="1">
      <c r="C198" s="90" t="s">
        <v>39</v>
      </c>
      <c r="D198" s="136" t="s">
        <v>49</v>
      </c>
      <c r="E198" s="62" t="s">
        <v>16</v>
      </c>
      <c r="F198" s="140">
        <v>1932</v>
      </c>
      <c r="G198" s="64">
        <v>369</v>
      </c>
      <c r="H198" s="136">
        <f>_xlfn.XLOOKUP(data[[#This Row],[Product]],products[Product],products[Cost per unit])</f>
        <v>11.7</v>
      </c>
      <c r="I198" s="81">
        <f>data[[#This Row],[Cost per unit]]*data[[#This Row],[Units]]</f>
        <v>4317.3</v>
      </c>
    </row>
    <row r="199" spans="3:9" s="1" customFormat="1">
      <c r="C199" s="90" t="s">
        <v>46</v>
      </c>
      <c r="D199" s="136" t="s">
        <v>49</v>
      </c>
      <c r="E199" s="62" t="s">
        <v>27</v>
      </c>
      <c r="F199" s="140">
        <v>6300</v>
      </c>
      <c r="G199" s="64">
        <v>42</v>
      </c>
      <c r="H199" s="136">
        <f>_xlfn.XLOOKUP(data[[#This Row],[Product]],products[Product],products[Cost per unit])</f>
        <v>13.15</v>
      </c>
      <c r="I199" s="81">
        <f>data[[#This Row],[Cost per unit]]*data[[#This Row],[Units]]</f>
        <v>552.30000000000007</v>
      </c>
    </row>
    <row r="200" spans="3:9" s="1" customFormat="1">
      <c r="C200" s="90" t="s">
        <v>25</v>
      </c>
      <c r="D200" s="136" t="s">
        <v>8</v>
      </c>
      <c r="E200" s="62" t="s">
        <v>9</v>
      </c>
      <c r="F200" s="140">
        <v>560</v>
      </c>
      <c r="G200" s="64">
        <v>81</v>
      </c>
      <c r="H200" s="136">
        <f>_xlfn.XLOOKUP(data[[#This Row],[Product]],products[Product],products[Cost per unit])</f>
        <v>14.49</v>
      </c>
      <c r="I200" s="81">
        <f>data[[#This Row],[Cost per unit]]*data[[#This Row],[Units]]</f>
        <v>1173.69</v>
      </c>
    </row>
    <row r="201" spans="3:9" s="1" customFormat="1">
      <c r="C201" s="90" t="s">
        <v>17</v>
      </c>
      <c r="D201" s="136" t="s">
        <v>8</v>
      </c>
      <c r="E201" s="62" t="s">
        <v>50</v>
      </c>
      <c r="F201" s="140">
        <v>2856</v>
      </c>
      <c r="G201" s="64">
        <v>246</v>
      </c>
      <c r="H201" s="136">
        <f>_xlfn.XLOOKUP(data[[#This Row],[Product]],products[Product],products[Cost per unit])</f>
        <v>5.6</v>
      </c>
      <c r="I201" s="81">
        <f>data[[#This Row],[Cost per unit]]*data[[#This Row],[Units]]</f>
        <v>1377.6</v>
      </c>
    </row>
    <row r="202" spans="3:9" s="1" customFormat="1">
      <c r="C202" s="90" t="s">
        <v>17</v>
      </c>
      <c r="D202" s="136" t="s">
        <v>49</v>
      </c>
      <c r="E202" s="62" t="s">
        <v>32</v>
      </c>
      <c r="F202" s="140">
        <v>707</v>
      </c>
      <c r="G202" s="64">
        <v>174</v>
      </c>
      <c r="H202" s="136">
        <f>_xlfn.XLOOKUP(data[[#This Row],[Product]],products[Product],products[Cost per unit])</f>
        <v>3.11</v>
      </c>
      <c r="I202" s="81">
        <f>data[[#This Row],[Cost per unit]]*data[[#This Row],[Units]]</f>
        <v>541.14</v>
      </c>
    </row>
    <row r="203" spans="3:9" s="1" customFormat="1">
      <c r="C203" s="90" t="s">
        <v>12</v>
      </c>
      <c r="D203" s="136" t="s">
        <v>13</v>
      </c>
      <c r="E203" s="62" t="s">
        <v>9</v>
      </c>
      <c r="F203" s="140">
        <v>3598</v>
      </c>
      <c r="G203" s="64">
        <v>81</v>
      </c>
      <c r="H203" s="136">
        <f>_xlfn.XLOOKUP(data[[#This Row],[Product]],products[Product],products[Cost per unit])</f>
        <v>14.49</v>
      </c>
      <c r="I203" s="81">
        <f>data[[#This Row],[Cost per unit]]*data[[#This Row],[Units]]</f>
        <v>1173.69</v>
      </c>
    </row>
    <row r="204" spans="3:9" s="1" customFormat="1">
      <c r="C204" s="90" t="s">
        <v>7</v>
      </c>
      <c r="D204" s="136" t="s">
        <v>13</v>
      </c>
      <c r="E204" s="62" t="s">
        <v>36</v>
      </c>
      <c r="F204" s="140">
        <v>6853</v>
      </c>
      <c r="G204" s="64">
        <v>372</v>
      </c>
      <c r="H204" s="136">
        <f>_xlfn.XLOOKUP(data[[#This Row],[Product]],products[Product],products[Cost per unit])</f>
        <v>9.77</v>
      </c>
      <c r="I204" s="81">
        <f>data[[#This Row],[Cost per unit]]*data[[#This Row],[Units]]</f>
        <v>3634.44</v>
      </c>
    </row>
    <row r="205" spans="3:9" s="1" customFormat="1">
      <c r="C205" s="90" t="s">
        <v>7</v>
      </c>
      <c r="D205" s="136" t="s">
        <v>13</v>
      </c>
      <c r="E205" s="62" t="s">
        <v>29</v>
      </c>
      <c r="F205" s="140">
        <v>4725</v>
      </c>
      <c r="G205" s="64">
        <v>174</v>
      </c>
      <c r="H205" s="136">
        <f>_xlfn.XLOOKUP(data[[#This Row],[Product]],products[Product],products[Cost per unit])</f>
        <v>8.7899999999999991</v>
      </c>
      <c r="I205" s="81">
        <f>data[[#This Row],[Cost per unit]]*data[[#This Row],[Units]]</f>
        <v>1529.4599999999998</v>
      </c>
    </row>
    <row r="206" spans="3:9" s="1" customFormat="1">
      <c r="C206" s="90" t="s">
        <v>20</v>
      </c>
      <c r="D206" s="136" t="s">
        <v>21</v>
      </c>
      <c r="E206" s="62" t="s">
        <v>14</v>
      </c>
      <c r="F206" s="140">
        <v>10304</v>
      </c>
      <c r="G206" s="64">
        <v>84</v>
      </c>
      <c r="H206" s="136">
        <f>_xlfn.XLOOKUP(data[[#This Row],[Product]],products[Product],products[Cost per unit])</f>
        <v>8.65</v>
      </c>
      <c r="I206" s="81">
        <f>data[[#This Row],[Cost per unit]]*data[[#This Row],[Units]]</f>
        <v>726.6</v>
      </c>
    </row>
    <row r="207" spans="3:9" s="1" customFormat="1">
      <c r="C207" s="90" t="s">
        <v>20</v>
      </c>
      <c r="D207" s="136" t="s">
        <v>49</v>
      </c>
      <c r="E207" s="62" t="s">
        <v>29</v>
      </c>
      <c r="F207" s="140">
        <v>1274</v>
      </c>
      <c r="G207" s="64">
        <v>225</v>
      </c>
      <c r="H207" s="136">
        <f>_xlfn.XLOOKUP(data[[#This Row],[Product]],products[Product],products[Cost per unit])</f>
        <v>8.7899999999999991</v>
      </c>
      <c r="I207" s="81">
        <f>data[[#This Row],[Cost per unit]]*data[[#This Row],[Units]]</f>
        <v>1977.7499999999998</v>
      </c>
    </row>
    <row r="208" spans="3:9" s="1" customFormat="1">
      <c r="C208" s="90" t="s">
        <v>42</v>
      </c>
      <c r="D208" s="136" t="s">
        <v>21</v>
      </c>
      <c r="E208" s="62" t="s">
        <v>9</v>
      </c>
      <c r="F208" s="140">
        <v>1526</v>
      </c>
      <c r="G208" s="64">
        <v>105</v>
      </c>
      <c r="H208" s="136">
        <f>_xlfn.XLOOKUP(data[[#This Row],[Product]],products[Product],products[Cost per unit])</f>
        <v>14.49</v>
      </c>
      <c r="I208" s="81">
        <f>data[[#This Row],[Cost per unit]]*data[[#This Row],[Units]]</f>
        <v>1521.45</v>
      </c>
    </row>
    <row r="209" spans="3:9" s="1" customFormat="1">
      <c r="C209" s="90" t="s">
        <v>7</v>
      </c>
      <c r="D209" s="136" t="s">
        <v>26</v>
      </c>
      <c r="E209" s="62" t="s">
        <v>53</v>
      </c>
      <c r="F209" s="140">
        <v>3101</v>
      </c>
      <c r="G209" s="64">
        <v>225</v>
      </c>
      <c r="H209" s="136">
        <f>_xlfn.XLOOKUP(data[[#This Row],[Product]],products[Product],products[Cost per unit])</f>
        <v>10.38</v>
      </c>
      <c r="I209" s="81">
        <f>data[[#This Row],[Cost per unit]]*data[[#This Row],[Units]]</f>
        <v>2335.5</v>
      </c>
    </row>
    <row r="210" spans="3:9" s="1" customFormat="1">
      <c r="C210" s="90" t="s">
        <v>45</v>
      </c>
      <c r="D210" s="136" t="s">
        <v>8</v>
      </c>
      <c r="E210" s="62" t="s">
        <v>16</v>
      </c>
      <c r="F210" s="140">
        <v>1057</v>
      </c>
      <c r="G210" s="64">
        <v>54</v>
      </c>
      <c r="H210" s="136">
        <f>_xlfn.XLOOKUP(data[[#This Row],[Product]],products[Product],products[Cost per unit])</f>
        <v>11.7</v>
      </c>
      <c r="I210" s="81">
        <f>data[[#This Row],[Cost per unit]]*data[[#This Row],[Units]]</f>
        <v>631.79999999999995</v>
      </c>
    </row>
    <row r="211" spans="3:9" s="1" customFormat="1">
      <c r="C211" s="90" t="s">
        <v>39</v>
      </c>
      <c r="D211" s="136" t="s">
        <v>8</v>
      </c>
      <c r="E211" s="62" t="s">
        <v>50</v>
      </c>
      <c r="F211" s="140">
        <v>5306</v>
      </c>
      <c r="G211" s="64">
        <v>0</v>
      </c>
      <c r="H211" s="136">
        <f>_xlfn.XLOOKUP(data[[#This Row],[Product]],products[Product],products[Cost per unit])</f>
        <v>5.6</v>
      </c>
      <c r="I211" s="81">
        <f>data[[#This Row],[Cost per unit]]*data[[#This Row],[Units]]</f>
        <v>0</v>
      </c>
    </row>
    <row r="212" spans="3:9" s="1" customFormat="1">
      <c r="C212" s="90" t="s">
        <v>42</v>
      </c>
      <c r="D212" s="136" t="s">
        <v>26</v>
      </c>
      <c r="E212" s="62" t="s">
        <v>48</v>
      </c>
      <c r="F212" s="140">
        <v>4018</v>
      </c>
      <c r="G212" s="64">
        <v>171</v>
      </c>
      <c r="H212" s="136">
        <f>_xlfn.XLOOKUP(data[[#This Row],[Product]],products[Product],products[Cost per unit])</f>
        <v>4.97</v>
      </c>
      <c r="I212" s="81">
        <f>data[[#This Row],[Cost per unit]]*data[[#This Row],[Units]]</f>
        <v>849.87</v>
      </c>
    </row>
    <row r="213" spans="3:9" s="1" customFormat="1">
      <c r="C213" s="90" t="s">
        <v>17</v>
      </c>
      <c r="D213" s="136" t="s">
        <v>49</v>
      </c>
      <c r="E213" s="62" t="s">
        <v>29</v>
      </c>
      <c r="F213" s="140">
        <v>938</v>
      </c>
      <c r="G213" s="64">
        <v>189</v>
      </c>
      <c r="H213" s="136">
        <f>_xlfn.XLOOKUP(data[[#This Row],[Product]],products[Product],products[Cost per unit])</f>
        <v>8.7899999999999991</v>
      </c>
      <c r="I213" s="81">
        <f>data[[#This Row],[Cost per unit]]*data[[#This Row],[Units]]</f>
        <v>1661.31</v>
      </c>
    </row>
    <row r="214" spans="3:9" s="1" customFormat="1">
      <c r="C214" s="90" t="s">
        <v>39</v>
      </c>
      <c r="D214" s="136" t="s">
        <v>33</v>
      </c>
      <c r="E214" s="62" t="s">
        <v>22</v>
      </c>
      <c r="F214" s="140">
        <v>1778</v>
      </c>
      <c r="G214" s="64">
        <v>270</v>
      </c>
      <c r="H214" s="136">
        <f>_xlfn.XLOOKUP(data[[#This Row],[Product]],products[Product],products[Cost per unit])</f>
        <v>6.47</v>
      </c>
      <c r="I214" s="81">
        <f>data[[#This Row],[Cost per unit]]*data[[#This Row],[Units]]</f>
        <v>1746.8999999999999</v>
      </c>
    </row>
    <row r="215" spans="3:9" s="1" customFormat="1">
      <c r="C215" s="90" t="s">
        <v>25</v>
      </c>
      <c r="D215" s="136" t="s">
        <v>26</v>
      </c>
      <c r="E215" s="62" t="s">
        <v>9</v>
      </c>
      <c r="F215" s="140">
        <v>1638</v>
      </c>
      <c r="G215" s="64">
        <v>63</v>
      </c>
      <c r="H215" s="136">
        <f>_xlfn.XLOOKUP(data[[#This Row],[Product]],products[Product],products[Cost per unit])</f>
        <v>14.49</v>
      </c>
      <c r="I215" s="81">
        <f>data[[#This Row],[Cost per unit]]*data[[#This Row],[Units]]</f>
        <v>912.87</v>
      </c>
    </row>
    <row r="216" spans="3:9" s="1" customFormat="1">
      <c r="C216" s="90" t="s">
        <v>20</v>
      </c>
      <c r="D216" s="136" t="s">
        <v>33</v>
      </c>
      <c r="E216" s="62" t="s">
        <v>27</v>
      </c>
      <c r="F216" s="140">
        <v>154</v>
      </c>
      <c r="G216" s="64">
        <v>21</v>
      </c>
      <c r="H216" s="136">
        <f>_xlfn.XLOOKUP(data[[#This Row],[Product]],products[Product],products[Cost per unit])</f>
        <v>13.15</v>
      </c>
      <c r="I216" s="81">
        <f>data[[#This Row],[Cost per unit]]*data[[#This Row],[Units]]</f>
        <v>276.15000000000003</v>
      </c>
    </row>
    <row r="217" spans="3:9" s="1" customFormat="1">
      <c r="C217" s="90" t="s">
        <v>39</v>
      </c>
      <c r="D217" s="136" t="s">
        <v>8</v>
      </c>
      <c r="E217" s="62" t="s">
        <v>36</v>
      </c>
      <c r="F217" s="140">
        <v>9835</v>
      </c>
      <c r="G217" s="64">
        <v>207</v>
      </c>
      <c r="H217" s="136">
        <f>_xlfn.XLOOKUP(data[[#This Row],[Product]],products[Product],products[Cost per unit])</f>
        <v>9.77</v>
      </c>
      <c r="I217" s="81">
        <f>data[[#This Row],[Cost per unit]]*data[[#This Row],[Units]]</f>
        <v>2022.3899999999999</v>
      </c>
    </row>
    <row r="218" spans="3:9" s="1" customFormat="1">
      <c r="C218" s="90" t="s">
        <v>17</v>
      </c>
      <c r="D218" s="136" t="s">
        <v>8</v>
      </c>
      <c r="E218" s="62" t="s">
        <v>41</v>
      </c>
      <c r="F218" s="140">
        <v>7273</v>
      </c>
      <c r="G218" s="64">
        <v>96</v>
      </c>
      <c r="H218" s="136">
        <f>_xlfn.XLOOKUP(data[[#This Row],[Product]],products[Product],products[Cost per unit])</f>
        <v>10.62</v>
      </c>
      <c r="I218" s="81">
        <f>data[[#This Row],[Cost per unit]]*data[[#This Row],[Units]]</f>
        <v>1019.52</v>
      </c>
    </row>
    <row r="219" spans="3:9" s="1" customFormat="1">
      <c r="C219" s="90" t="s">
        <v>42</v>
      </c>
      <c r="D219" s="136" t="s">
        <v>26</v>
      </c>
      <c r="E219" s="62" t="s">
        <v>36</v>
      </c>
      <c r="F219" s="140">
        <v>6909</v>
      </c>
      <c r="G219" s="64">
        <v>81</v>
      </c>
      <c r="H219" s="136">
        <f>_xlfn.XLOOKUP(data[[#This Row],[Product]],products[Product],products[Cost per unit])</f>
        <v>9.77</v>
      </c>
      <c r="I219" s="81">
        <f>data[[#This Row],[Cost per unit]]*data[[#This Row],[Units]]</f>
        <v>791.37</v>
      </c>
    </row>
    <row r="220" spans="3:9" s="1" customFormat="1">
      <c r="C220" s="90" t="s">
        <v>17</v>
      </c>
      <c r="D220" s="136" t="s">
        <v>26</v>
      </c>
      <c r="E220" s="62" t="s">
        <v>48</v>
      </c>
      <c r="F220" s="140">
        <v>3920</v>
      </c>
      <c r="G220" s="64">
        <v>306</v>
      </c>
      <c r="H220" s="136">
        <f>_xlfn.XLOOKUP(data[[#This Row],[Product]],products[Product],products[Cost per unit])</f>
        <v>4.97</v>
      </c>
      <c r="I220" s="81">
        <f>data[[#This Row],[Cost per unit]]*data[[#This Row],[Units]]</f>
        <v>1520.82</v>
      </c>
    </row>
    <row r="221" spans="3:9" s="1" customFormat="1">
      <c r="C221" s="90" t="s">
        <v>54</v>
      </c>
      <c r="D221" s="136" t="s">
        <v>26</v>
      </c>
      <c r="E221" s="62" t="s">
        <v>44</v>
      </c>
      <c r="F221" s="140">
        <v>4858</v>
      </c>
      <c r="G221" s="64">
        <v>279</v>
      </c>
      <c r="H221" s="136">
        <f>_xlfn.XLOOKUP(data[[#This Row],[Product]],products[Product],products[Cost per unit])</f>
        <v>9</v>
      </c>
      <c r="I221" s="81">
        <f>data[[#This Row],[Cost per unit]]*data[[#This Row],[Units]]</f>
        <v>2511</v>
      </c>
    </row>
    <row r="222" spans="3:9" s="1" customFormat="1">
      <c r="C222" s="90" t="s">
        <v>45</v>
      </c>
      <c r="D222" s="136" t="s">
        <v>33</v>
      </c>
      <c r="E222" s="62" t="s">
        <v>18</v>
      </c>
      <c r="F222" s="140">
        <v>3549</v>
      </c>
      <c r="G222" s="64">
        <v>3</v>
      </c>
      <c r="H222" s="136">
        <f>_xlfn.XLOOKUP(data[[#This Row],[Product]],products[Product],products[Cost per unit])</f>
        <v>11.88</v>
      </c>
      <c r="I222" s="81">
        <f>data[[#This Row],[Cost per unit]]*data[[#This Row],[Units]]</f>
        <v>35.64</v>
      </c>
    </row>
    <row r="223" spans="3:9" s="1" customFormat="1">
      <c r="C223" s="90" t="s">
        <v>39</v>
      </c>
      <c r="D223" s="136" t="s">
        <v>26</v>
      </c>
      <c r="E223" s="62" t="s">
        <v>52</v>
      </c>
      <c r="F223" s="140">
        <v>966</v>
      </c>
      <c r="G223" s="64">
        <v>198</v>
      </c>
      <c r="H223" s="136">
        <f>_xlfn.XLOOKUP(data[[#This Row],[Product]],products[Product],products[Cost per unit])</f>
        <v>16.73</v>
      </c>
      <c r="I223" s="81">
        <f>data[[#This Row],[Cost per unit]]*data[[#This Row],[Units]]</f>
        <v>3312.54</v>
      </c>
    </row>
    <row r="224" spans="3:9" s="1" customFormat="1">
      <c r="C224" s="90" t="s">
        <v>42</v>
      </c>
      <c r="D224" s="136" t="s">
        <v>26</v>
      </c>
      <c r="E224" s="62" t="s">
        <v>22</v>
      </c>
      <c r="F224" s="140">
        <v>385</v>
      </c>
      <c r="G224" s="64">
        <v>249</v>
      </c>
      <c r="H224" s="136">
        <f>_xlfn.XLOOKUP(data[[#This Row],[Product]],products[Product],products[Cost per unit])</f>
        <v>6.47</v>
      </c>
      <c r="I224" s="81">
        <f>data[[#This Row],[Cost per unit]]*data[[#This Row],[Units]]</f>
        <v>1611.03</v>
      </c>
    </row>
    <row r="225" spans="3:9" s="1" customFormat="1">
      <c r="C225" s="90" t="s">
        <v>25</v>
      </c>
      <c r="D225" s="136" t="s">
        <v>49</v>
      </c>
      <c r="E225" s="62" t="s">
        <v>29</v>
      </c>
      <c r="F225" s="140">
        <v>2219</v>
      </c>
      <c r="G225" s="64">
        <v>75</v>
      </c>
      <c r="H225" s="136">
        <f>_xlfn.XLOOKUP(data[[#This Row],[Product]],products[Product],products[Cost per unit])</f>
        <v>8.7899999999999991</v>
      </c>
      <c r="I225" s="81">
        <f>data[[#This Row],[Cost per unit]]*data[[#This Row],[Units]]</f>
        <v>659.24999999999989</v>
      </c>
    </row>
    <row r="226" spans="3:9" s="1" customFormat="1">
      <c r="C226" s="90" t="s">
        <v>17</v>
      </c>
      <c r="D226" s="136" t="s">
        <v>21</v>
      </c>
      <c r="E226" s="62" t="s">
        <v>14</v>
      </c>
      <c r="F226" s="140">
        <v>2954</v>
      </c>
      <c r="G226" s="64">
        <v>189</v>
      </c>
      <c r="H226" s="136">
        <f>_xlfn.XLOOKUP(data[[#This Row],[Product]],products[Product],products[Cost per unit])</f>
        <v>8.65</v>
      </c>
      <c r="I226" s="81">
        <f>data[[#This Row],[Cost per unit]]*data[[#This Row],[Units]]</f>
        <v>1634.8500000000001</v>
      </c>
    </row>
    <row r="227" spans="3:9" s="1" customFormat="1">
      <c r="C227" s="90" t="s">
        <v>39</v>
      </c>
      <c r="D227" s="136" t="s">
        <v>21</v>
      </c>
      <c r="E227" s="62" t="s">
        <v>14</v>
      </c>
      <c r="F227" s="140">
        <v>280</v>
      </c>
      <c r="G227" s="64">
        <v>87</v>
      </c>
      <c r="H227" s="136">
        <f>_xlfn.XLOOKUP(data[[#This Row],[Product]],products[Product],products[Cost per unit])</f>
        <v>8.65</v>
      </c>
      <c r="I227" s="81">
        <f>data[[#This Row],[Cost per unit]]*data[[#This Row],[Units]]</f>
        <v>752.55000000000007</v>
      </c>
    </row>
    <row r="228" spans="3:9" s="1" customFormat="1">
      <c r="C228" s="90" t="s">
        <v>20</v>
      </c>
      <c r="D228" s="136" t="s">
        <v>21</v>
      </c>
      <c r="E228" s="62" t="s">
        <v>9</v>
      </c>
      <c r="F228" s="140">
        <v>6118</v>
      </c>
      <c r="G228" s="64">
        <v>174</v>
      </c>
      <c r="H228" s="136">
        <f>_xlfn.XLOOKUP(data[[#This Row],[Product]],products[Product],products[Cost per unit])</f>
        <v>14.49</v>
      </c>
      <c r="I228" s="81">
        <f>data[[#This Row],[Cost per unit]]*data[[#This Row],[Units]]</f>
        <v>2521.2600000000002</v>
      </c>
    </row>
    <row r="229" spans="3:9" s="1" customFormat="1">
      <c r="C229" s="90" t="s">
        <v>45</v>
      </c>
      <c r="D229" s="136" t="s">
        <v>26</v>
      </c>
      <c r="E229" s="62" t="s">
        <v>24</v>
      </c>
      <c r="F229" s="140">
        <v>4802</v>
      </c>
      <c r="G229" s="64">
        <v>36</v>
      </c>
      <c r="H229" s="136">
        <f>_xlfn.XLOOKUP(data[[#This Row],[Product]],products[Product],products[Cost per unit])</f>
        <v>11.73</v>
      </c>
      <c r="I229" s="81">
        <f>data[[#This Row],[Cost per unit]]*data[[#This Row],[Units]]</f>
        <v>422.28000000000003</v>
      </c>
    </row>
    <row r="230" spans="3:9" s="1" customFormat="1">
      <c r="C230" s="90" t="s">
        <v>17</v>
      </c>
      <c r="D230" s="136" t="s">
        <v>33</v>
      </c>
      <c r="E230" s="62" t="s">
        <v>48</v>
      </c>
      <c r="F230" s="140">
        <v>4137</v>
      </c>
      <c r="G230" s="64">
        <v>60</v>
      </c>
      <c r="H230" s="136">
        <f>_xlfn.XLOOKUP(data[[#This Row],[Product]],products[Product],products[Cost per unit])</f>
        <v>4.97</v>
      </c>
      <c r="I230" s="81">
        <f>data[[#This Row],[Cost per unit]]*data[[#This Row],[Units]]</f>
        <v>298.2</v>
      </c>
    </row>
    <row r="231" spans="3:9" s="1" customFormat="1">
      <c r="C231" s="90" t="s">
        <v>46</v>
      </c>
      <c r="D231" s="136" t="s">
        <v>13</v>
      </c>
      <c r="E231" s="62" t="s">
        <v>47</v>
      </c>
      <c r="F231" s="140">
        <v>2023</v>
      </c>
      <c r="G231" s="64">
        <v>78</v>
      </c>
      <c r="H231" s="136">
        <f>_xlfn.XLOOKUP(data[[#This Row],[Product]],products[Product],products[Cost per unit])</f>
        <v>6.49</v>
      </c>
      <c r="I231" s="81">
        <f>data[[#This Row],[Cost per unit]]*data[[#This Row],[Units]]</f>
        <v>506.22</v>
      </c>
    </row>
    <row r="232" spans="3:9" s="1" customFormat="1">
      <c r="C232" s="90" t="s">
        <v>17</v>
      </c>
      <c r="D232" s="136" t="s">
        <v>21</v>
      </c>
      <c r="E232" s="62" t="s">
        <v>9</v>
      </c>
      <c r="F232" s="140">
        <v>9051</v>
      </c>
      <c r="G232" s="64">
        <v>57</v>
      </c>
      <c r="H232" s="136">
        <f>_xlfn.XLOOKUP(data[[#This Row],[Product]],products[Product],products[Cost per unit])</f>
        <v>14.49</v>
      </c>
      <c r="I232" s="81">
        <f>data[[#This Row],[Cost per unit]]*data[[#This Row],[Units]]</f>
        <v>825.93000000000006</v>
      </c>
    </row>
    <row r="233" spans="3:9" s="1" customFormat="1">
      <c r="C233" s="90" t="s">
        <v>17</v>
      </c>
      <c r="D233" s="136" t="s">
        <v>8</v>
      </c>
      <c r="E233" s="62" t="s">
        <v>53</v>
      </c>
      <c r="F233" s="140">
        <v>2919</v>
      </c>
      <c r="G233" s="64">
        <v>45</v>
      </c>
      <c r="H233" s="136">
        <f>_xlfn.XLOOKUP(data[[#This Row],[Product]],products[Product],products[Cost per unit])</f>
        <v>10.38</v>
      </c>
      <c r="I233" s="81">
        <f>data[[#This Row],[Cost per unit]]*data[[#This Row],[Units]]</f>
        <v>467.1</v>
      </c>
    </row>
    <row r="234" spans="3:9" s="1" customFormat="1">
      <c r="C234" s="90" t="s">
        <v>20</v>
      </c>
      <c r="D234" s="136" t="s">
        <v>33</v>
      </c>
      <c r="E234" s="62" t="s">
        <v>36</v>
      </c>
      <c r="F234" s="140">
        <v>5915</v>
      </c>
      <c r="G234" s="64">
        <v>3</v>
      </c>
      <c r="H234" s="136">
        <f>_xlfn.XLOOKUP(data[[#This Row],[Product]],products[Product],products[Cost per unit])</f>
        <v>9.77</v>
      </c>
      <c r="I234" s="81">
        <f>data[[#This Row],[Cost per unit]]*data[[#This Row],[Units]]</f>
        <v>29.31</v>
      </c>
    </row>
    <row r="235" spans="3:9" s="1" customFormat="1">
      <c r="C235" s="90" t="s">
        <v>54</v>
      </c>
      <c r="D235" s="136" t="s">
        <v>13</v>
      </c>
      <c r="E235" s="62" t="s">
        <v>24</v>
      </c>
      <c r="F235" s="140">
        <v>2562</v>
      </c>
      <c r="G235" s="64">
        <v>6</v>
      </c>
      <c r="H235" s="136">
        <f>_xlfn.XLOOKUP(data[[#This Row],[Product]],products[Product],products[Cost per unit])</f>
        <v>11.73</v>
      </c>
      <c r="I235" s="81">
        <f>data[[#This Row],[Cost per unit]]*data[[#This Row],[Units]]</f>
        <v>70.38</v>
      </c>
    </row>
    <row r="236" spans="3:9" s="1" customFormat="1">
      <c r="C236" s="90" t="s">
        <v>42</v>
      </c>
      <c r="D236" s="136" t="s">
        <v>8</v>
      </c>
      <c r="E236" s="62" t="s">
        <v>27</v>
      </c>
      <c r="F236" s="140">
        <v>8813</v>
      </c>
      <c r="G236" s="64">
        <v>21</v>
      </c>
      <c r="H236" s="136">
        <f>_xlfn.XLOOKUP(data[[#This Row],[Product]],products[Product],products[Cost per unit])</f>
        <v>13.15</v>
      </c>
      <c r="I236" s="81">
        <f>data[[#This Row],[Cost per unit]]*data[[#This Row],[Units]]</f>
        <v>276.15000000000003</v>
      </c>
    </row>
    <row r="237" spans="3:9" s="1" customFormat="1">
      <c r="C237" s="90" t="s">
        <v>42</v>
      </c>
      <c r="D237" s="136" t="s">
        <v>21</v>
      </c>
      <c r="E237" s="62" t="s">
        <v>22</v>
      </c>
      <c r="F237" s="140">
        <v>6111</v>
      </c>
      <c r="G237" s="64">
        <v>3</v>
      </c>
      <c r="H237" s="136">
        <f>_xlfn.XLOOKUP(data[[#This Row],[Product]],products[Product],products[Cost per unit])</f>
        <v>6.47</v>
      </c>
      <c r="I237" s="81">
        <f>data[[#This Row],[Cost per unit]]*data[[#This Row],[Units]]</f>
        <v>19.41</v>
      </c>
    </row>
    <row r="238" spans="3:9" s="1" customFormat="1">
      <c r="C238" s="90" t="s">
        <v>12</v>
      </c>
      <c r="D238" s="136" t="s">
        <v>49</v>
      </c>
      <c r="E238" s="62" t="s">
        <v>34</v>
      </c>
      <c r="F238" s="140">
        <v>3507</v>
      </c>
      <c r="G238" s="64">
        <v>288</v>
      </c>
      <c r="H238" s="136">
        <f>_xlfn.XLOOKUP(data[[#This Row],[Product]],products[Product],products[Cost per unit])</f>
        <v>5.79</v>
      </c>
      <c r="I238" s="81">
        <f>data[[#This Row],[Cost per unit]]*data[[#This Row],[Units]]</f>
        <v>1667.52</v>
      </c>
    </row>
    <row r="239" spans="3:9" s="1" customFormat="1">
      <c r="C239" s="90" t="s">
        <v>25</v>
      </c>
      <c r="D239" s="136" t="s">
        <v>21</v>
      </c>
      <c r="E239" s="62" t="s">
        <v>11</v>
      </c>
      <c r="F239" s="140">
        <v>4319</v>
      </c>
      <c r="G239" s="64">
        <v>30</v>
      </c>
      <c r="H239" s="136">
        <f>_xlfn.XLOOKUP(data[[#This Row],[Product]],products[Product],products[Cost per unit])</f>
        <v>9.33</v>
      </c>
      <c r="I239" s="81">
        <f>data[[#This Row],[Cost per unit]]*data[[#This Row],[Units]]</f>
        <v>279.89999999999998</v>
      </c>
    </row>
    <row r="240" spans="3:9" s="1" customFormat="1">
      <c r="C240" s="90" t="s">
        <v>7</v>
      </c>
      <c r="D240" s="136" t="s">
        <v>33</v>
      </c>
      <c r="E240" s="62" t="s">
        <v>50</v>
      </c>
      <c r="F240" s="140">
        <v>609</v>
      </c>
      <c r="G240" s="64">
        <v>87</v>
      </c>
      <c r="H240" s="136">
        <f>_xlfn.XLOOKUP(data[[#This Row],[Product]],products[Product],products[Cost per unit])</f>
        <v>5.6</v>
      </c>
      <c r="I240" s="81">
        <f>data[[#This Row],[Cost per unit]]*data[[#This Row],[Units]]</f>
        <v>487.2</v>
      </c>
    </row>
    <row r="241" spans="3:9" s="1" customFormat="1">
      <c r="C241" s="90" t="s">
        <v>7</v>
      </c>
      <c r="D241" s="136" t="s">
        <v>26</v>
      </c>
      <c r="E241" s="62" t="s">
        <v>52</v>
      </c>
      <c r="F241" s="140">
        <v>6370</v>
      </c>
      <c r="G241" s="64">
        <v>30</v>
      </c>
      <c r="H241" s="136">
        <f>_xlfn.XLOOKUP(data[[#This Row],[Product]],products[Product],products[Cost per unit])</f>
        <v>16.73</v>
      </c>
      <c r="I241" s="81">
        <f>data[[#This Row],[Cost per unit]]*data[[#This Row],[Units]]</f>
        <v>501.90000000000003</v>
      </c>
    </row>
    <row r="242" spans="3:9" s="1" customFormat="1">
      <c r="C242" s="90" t="s">
        <v>42</v>
      </c>
      <c r="D242" s="136" t="s">
        <v>33</v>
      </c>
      <c r="E242" s="62" t="s">
        <v>38</v>
      </c>
      <c r="F242" s="140">
        <v>5474</v>
      </c>
      <c r="G242" s="64">
        <v>168</v>
      </c>
      <c r="H242" s="136">
        <f>_xlfn.XLOOKUP(data[[#This Row],[Product]],products[Product],products[Cost per unit])</f>
        <v>7.64</v>
      </c>
      <c r="I242" s="81">
        <f>data[[#This Row],[Cost per unit]]*data[[#This Row],[Units]]</f>
        <v>1283.52</v>
      </c>
    </row>
    <row r="243" spans="3:9" s="1" customFormat="1">
      <c r="C243" s="90" t="s">
        <v>7</v>
      </c>
      <c r="D243" s="136" t="s">
        <v>21</v>
      </c>
      <c r="E243" s="62" t="s">
        <v>52</v>
      </c>
      <c r="F243" s="140">
        <v>3164</v>
      </c>
      <c r="G243" s="64">
        <v>306</v>
      </c>
      <c r="H243" s="136">
        <f>_xlfn.XLOOKUP(data[[#This Row],[Product]],products[Product],products[Cost per unit])</f>
        <v>16.73</v>
      </c>
      <c r="I243" s="81">
        <f>data[[#This Row],[Cost per unit]]*data[[#This Row],[Units]]</f>
        <v>5119.38</v>
      </c>
    </row>
    <row r="244" spans="3:9" s="1" customFormat="1">
      <c r="C244" s="90" t="s">
        <v>25</v>
      </c>
      <c r="D244" s="136" t="s">
        <v>13</v>
      </c>
      <c r="E244" s="62" t="s">
        <v>18</v>
      </c>
      <c r="F244" s="140">
        <v>1302</v>
      </c>
      <c r="G244" s="64">
        <v>402</v>
      </c>
      <c r="H244" s="136">
        <f>_xlfn.XLOOKUP(data[[#This Row],[Product]],products[Product],products[Cost per unit])</f>
        <v>11.88</v>
      </c>
      <c r="I244" s="81">
        <f>data[[#This Row],[Cost per unit]]*data[[#This Row],[Units]]</f>
        <v>4775.76</v>
      </c>
    </row>
    <row r="245" spans="3:9" s="1" customFormat="1">
      <c r="C245" s="90" t="s">
        <v>46</v>
      </c>
      <c r="D245" s="136" t="s">
        <v>8</v>
      </c>
      <c r="E245" s="62" t="s">
        <v>53</v>
      </c>
      <c r="F245" s="140">
        <v>7308</v>
      </c>
      <c r="G245" s="64">
        <v>327</v>
      </c>
      <c r="H245" s="136">
        <f>_xlfn.XLOOKUP(data[[#This Row],[Product]],products[Product],products[Cost per unit])</f>
        <v>10.38</v>
      </c>
      <c r="I245" s="81">
        <f>data[[#This Row],[Cost per unit]]*data[[#This Row],[Units]]</f>
        <v>3394.26</v>
      </c>
    </row>
    <row r="246" spans="3:9" s="1" customFormat="1">
      <c r="C246" s="90" t="s">
        <v>7</v>
      </c>
      <c r="D246" s="136" t="s">
        <v>8</v>
      </c>
      <c r="E246" s="62" t="s">
        <v>52</v>
      </c>
      <c r="F246" s="140">
        <v>6132</v>
      </c>
      <c r="G246" s="64">
        <v>93</v>
      </c>
      <c r="H246" s="136">
        <f>_xlfn.XLOOKUP(data[[#This Row],[Product]],products[Product],products[Cost per unit])</f>
        <v>16.73</v>
      </c>
      <c r="I246" s="81">
        <f>data[[#This Row],[Cost per unit]]*data[[#This Row],[Units]]</f>
        <v>1555.89</v>
      </c>
    </row>
    <row r="247" spans="3:9" s="1" customFormat="1">
      <c r="C247" s="90" t="s">
        <v>54</v>
      </c>
      <c r="D247" s="136" t="s">
        <v>13</v>
      </c>
      <c r="E247" s="62" t="s">
        <v>16</v>
      </c>
      <c r="F247" s="140">
        <v>3472</v>
      </c>
      <c r="G247" s="64">
        <v>96</v>
      </c>
      <c r="H247" s="136">
        <f>_xlfn.XLOOKUP(data[[#This Row],[Product]],products[Product],products[Cost per unit])</f>
        <v>11.7</v>
      </c>
      <c r="I247" s="81">
        <f>data[[#This Row],[Cost per unit]]*data[[#This Row],[Units]]</f>
        <v>1123.1999999999998</v>
      </c>
    </row>
    <row r="248" spans="3:9" s="1" customFormat="1">
      <c r="C248" s="90" t="s">
        <v>12</v>
      </c>
      <c r="D248" s="136" t="s">
        <v>26</v>
      </c>
      <c r="E248" s="62" t="s">
        <v>22</v>
      </c>
      <c r="F248" s="140">
        <v>9660</v>
      </c>
      <c r="G248" s="64">
        <v>27</v>
      </c>
      <c r="H248" s="136">
        <f>_xlfn.XLOOKUP(data[[#This Row],[Product]],products[Product],products[Cost per unit])</f>
        <v>6.47</v>
      </c>
      <c r="I248" s="81">
        <f>data[[#This Row],[Cost per unit]]*data[[#This Row],[Units]]</f>
        <v>174.69</v>
      </c>
    </row>
    <row r="249" spans="3:9" s="1" customFormat="1">
      <c r="C249" s="90" t="s">
        <v>17</v>
      </c>
      <c r="D249" s="136" t="s">
        <v>33</v>
      </c>
      <c r="E249" s="62" t="s">
        <v>50</v>
      </c>
      <c r="F249" s="140">
        <v>2436</v>
      </c>
      <c r="G249" s="64">
        <v>99</v>
      </c>
      <c r="H249" s="136">
        <f>_xlfn.XLOOKUP(data[[#This Row],[Product]],products[Product],products[Cost per unit])</f>
        <v>5.6</v>
      </c>
      <c r="I249" s="81">
        <f>data[[#This Row],[Cost per unit]]*data[[#This Row],[Units]]</f>
        <v>554.4</v>
      </c>
    </row>
    <row r="250" spans="3:9" s="1" customFormat="1">
      <c r="C250" s="90" t="s">
        <v>17</v>
      </c>
      <c r="D250" s="136" t="s">
        <v>33</v>
      </c>
      <c r="E250" s="62" t="s">
        <v>30</v>
      </c>
      <c r="F250" s="140">
        <v>9506</v>
      </c>
      <c r="G250" s="64">
        <v>87</v>
      </c>
      <c r="H250" s="136">
        <f>_xlfn.XLOOKUP(data[[#This Row],[Product]],products[Product],products[Cost per unit])</f>
        <v>12.37</v>
      </c>
      <c r="I250" s="81">
        <f>data[[#This Row],[Cost per unit]]*data[[#This Row],[Units]]</f>
        <v>1076.1899999999998</v>
      </c>
    </row>
    <row r="251" spans="3:9" s="1" customFormat="1">
      <c r="C251" s="90" t="s">
        <v>54</v>
      </c>
      <c r="D251" s="136" t="s">
        <v>8</v>
      </c>
      <c r="E251" s="62" t="s">
        <v>44</v>
      </c>
      <c r="F251" s="140">
        <v>245</v>
      </c>
      <c r="G251" s="64">
        <v>288</v>
      </c>
      <c r="H251" s="136">
        <f>_xlfn.XLOOKUP(data[[#This Row],[Product]],products[Product],products[Cost per unit])</f>
        <v>9</v>
      </c>
      <c r="I251" s="81">
        <f>data[[#This Row],[Cost per unit]]*data[[#This Row],[Units]]</f>
        <v>2592</v>
      </c>
    </row>
    <row r="252" spans="3:9" s="1" customFormat="1">
      <c r="C252" s="90" t="s">
        <v>12</v>
      </c>
      <c r="D252" s="136" t="s">
        <v>13</v>
      </c>
      <c r="E252" s="62" t="s">
        <v>41</v>
      </c>
      <c r="F252" s="140">
        <v>2702</v>
      </c>
      <c r="G252" s="64">
        <v>363</v>
      </c>
      <c r="H252" s="136">
        <f>_xlfn.XLOOKUP(data[[#This Row],[Product]],products[Product],products[Cost per unit])</f>
        <v>10.62</v>
      </c>
      <c r="I252" s="81">
        <f>data[[#This Row],[Cost per unit]]*data[[#This Row],[Units]]</f>
        <v>3855.0599999999995</v>
      </c>
    </row>
    <row r="253" spans="3:9" s="1" customFormat="1">
      <c r="C253" s="90" t="s">
        <v>54</v>
      </c>
      <c r="D253" s="136" t="s">
        <v>49</v>
      </c>
      <c r="E253" s="62" t="s">
        <v>32</v>
      </c>
      <c r="F253" s="140">
        <v>700</v>
      </c>
      <c r="G253" s="64">
        <v>87</v>
      </c>
      <c r="H253" s="136">
        <f>_xlfn.XLOOKUP(data[[#This Row],[Product]],products[Product],products[Cost per unit])</f>
        <v>3.11</v>
      </c>
      <c r="I253" s="81">
        <f>data[[#This Row],[Cost per unit]]*data[[#This Row],[Units]]</f>
        <v>270.57</v>
      </c>
    </row>
    <row r="254" spans="3:9" s="1" customFormat="1">
      <c r="C254" s="90" t="s">
        <v>25</v>
      </c>
      <c r="D254" s="136" t="s">
        <v>49</v>
      </c>
      <c r="E254" s="62" t="s">
        <v>32</v>
      </c>
      <c r="F254" s="140">
        <v>3759</v>
      </c>
      <c r="G254" s="64">
        <v>150</v>
      </c>
      <c r="H254" s="136">
        <f>_xlfn.XLOOKUP(data[[#This Row],[Product]],products[Product],products[Cost per unit])</f>
        <v>3.11</v>
      </c>
      <c r="I254" s="81">
        <f>data[[#This Row],[Cost per unit]]*data[[#This Row],[Units]]</f>
        <v>466.5</v>
      </c>
    </row>
    <row r="255" spans="3:9" s="1" customFormat="1">
      <c r="C255" s="90" t="s">
        <v>45</v>
      </c>
      <c r="D255" s="136" t="s">
        <v>13</v>
      </c>
      <c r="E255" s="62" t="s">
        <v>32</v>
      </c>
      <c r="F255" s="140">
        <v>1589</v>
      </c>
      <c r="G255" s="64">
        <v>303</v>
      </c>
      <c r="H255" s="136">
        <f>_xlfn.XLOOKUP(data[[#This Row],[Product]],products[Product],products[Cost per unit])</f>
        <v>3.11</v>
      </c>
      <c r="I255" s="81">
        <f>data[[#This Row],[Cost per unit]]*data[[#This Row],[Units]]</f>
        <v>942.32999999999993</v>
      </c>
    </row>
    <row r="256" spans="3:9" s="1" customFormat="1">
      <c r="C256" s="90" t="s">
        <v>39</v>
      </c>
      <c r="D256" s="136" t="s">
        <v>13</v>
      </c>
      <c r="E256" s="62" t="s">
        <v>53</v>
      </c>
      <c r="F256" s="140">
        <v>5194</v>
      </c>
      <c r="G256" s="64">
        <v>288</v>
      </c>
      <c r="H256" s="136">
        <f>_xlfn.XLOOKUP(data[[#This Row],[Product]],products[Product],products[Cost per unit])</f>
        <v>10.38</v>
      </c>
      <c r="I256" s="81">
        <f>data[[#This Row],[Cost per unit]]*data[[#This Row],[Units]]</f>
        <v>2989.44</v>
      </c>
    </row>
    <row r="257" spans="3:9" s="1" customFormat="1">
      <c r="C257" s="90" t="s">
        <v>54</v>
      </c>
      <c r="D257" s="136" t="s">
        <v>21</v>
      </c>
      <c r="E257" s="62" t="s">
        <v>11</v>
      </c>
      <c r="F257" s="140">
        <v>945</v>
      </c>
      <c r="G257" s="64">
        <v>75</v>
      </c>
      <c r="H257" s="136">
        <f>_xlfn.XLOOKUP(data[[#This Row],[Product]],products[Product],products[Cost per unit])</f>
        <v>9.33</v>
      </c>
      <c r="I257" s="81">
        <f>data[[#This Row],[Cost per unit]]*data[[#This Row],[Units]]</f>
        <v>699.75</v>
      </c>
    </row>
    <row r="258" spans="3:9" s="1" customFormat="1">
      <c r="C258" s="90" t="s">
        <v>7</v>
      </c>
      <c r="D258" s="136" t="s">
        <v>33</v>
      </c>
      <c r="E258" s="62" t="s">
        <v>34</v>
      </c>
      <c r="F258" s="140">
        <v>1988</v>
      </c>
      <c r="G258" s="64">
        <v>39</v>
      </c>
      <c r="H258" s="136">
        <f>_xlfn.XLOOKUP(data[[#This Row],[Product]],products[Product],products[Cost per unit])</f>
        <v>5.79</v>
      </c>
      <c r="I258" s="81">
        <f>data[[#This Row],[Cost per unit]]*data[[#This Row],[Units]]</f>
        <v>225.81</v>
      </c>
    </row>
    <row r="259" spans="3:9" s="1" customFormat="1">
      <c r="C259" s="90" t="s">
        <v>25</v>
      </c>
      <c r="D259" s="136" t="s">
        <v>49</v>
      </c>
      <c r="E259" s="62" t="s">
        <v>14</v>
      </c>
      <c r="F259" s="140">
        <v>6734</v>
      </c>
      <c r="G259" s="64">
        <v>123</v>
      </c>
      <c r="H259" s="136">
        <f>_xlfn.XLOOKUP(data[[#This Row],[Product]],products[Product],products[Cost per unit])</f>
        <v>8.65</v>
      </c>
      <c r="I259" s="81">
        <f>data[[#This Row],[Cost per unit]]*data[[#This Row],[Units]]</f>
        <v>1063.95</v>
      </c>
    </row>
    <row r="260" spans="3:9" s="1" customFormat="1">
      <c r="C260" s="90" t="s">
        <v>7</v>
      </c>
      <c r="D260" s="136" t="s">
        <v>21</v>
      </c>
      <c r="E260" s="62" t="s">
        <v>18</v>
      </c>
      <c r="F260" s="140">
        <v>217</v>
      </c>
      <c r="G260" s="64">
        <v>36</v>
      </c>
      <c r="H260" s="136">
        <f>_xlfn.XLOOKUP(data[[#This Row],[Product]],products[Product],products[Cost per unit])</f>
        <v>11.88</v>
      </c>
      <c r="I260" s="81">
        <f>data[[#This Row],[Cost per unit]]*data[[#This Row],[Units]]</f>
        <v>427.68</v>
      </c>
    </row>
    <row r="261" spans="3:9" s="1" customFormat="1">
      <c r="C261" s="90" t="s">
        <v>42</v>
      </c>
      <c r="D261" s="136" t="s">
        <v>49</v>
      </c>
      <c r="E261" s="62" t="s">
        <v>36</v>
      </c>
      <c r="F261" s="140">
        <v>6279</v>
      </c>
      <c r="G261" s="64">
        <v>237</v>
      </c>
      <c r="H261" s="136">
        <f>_xlfn.XLOOKUP(data[[#This Row],[Product]],products[Product],products[Cost per unit])</f>
        <v>9.77</v>
      </c>
      <c r="I261" s="81">
        <f>data[[#This Row],[Cost per unit]]*data[[#This Row],[Units]]</f>
        <v>2315.4899999999998</v>
      </c>
    </row>
    <row r="262" spans="3:9" s="1" customFormat="1">
      <c r="C262" s="90" t="s">
        <v>7</v>
      </c>
      <c r="D262" s="136" t="s">
        <v>21</v>
      </c>
      <c r="E262" s="62" t="s">
        <v>11</v>
      </c>
      <c r="F262" s="140">
        <v>4424</v>
      </c>
      <c r="G262" s="64">
        <v>201</v>
      </c>
      <c r="H262" s="136">
        <f>_xlfn.XLOOKUP(data[[#This Row],[Product]],products[Product],products[Cost per unit])</f>
        <v>9.33</v>
      </c>
      <c r="I262" s="81">
        <f>data[[#This Row],[Cost per unit]]*data[[#This Row],[Units]]</f>
        <v>1875.33</v>
      </c>
    </row>
    <row r="263" spans="3:9" s="1" customFormat="1">
      <c r="C263" s="90" t="s">
        <v>45</v>
      </c>
      <c r="D263" s="136" t="s">
        <v>21</v>
      </c>
      <c r="E263" s="62" t="s">
        <v>32</v>
      </c>
      <c r="F263" s="140">
        <v>189</v>
      </c>
      <c r="G263" s="64">
        <v>48</v>
      </c>
      <c r="H263" s="136">
        <f>_xlfn.XLOOKUP(data[[#This Row],[Product]],products[Product],products[Cost per unit])</f>
        <v>3.11</v>
      </c>
      <c r="I263" s="81">
        <f>data[[#This Row],[Cost per unit]]*data[[#This Row],[Units]]</f>
        <v>149.28</v>
      </c>
    </row>
    <row r="264" spans="3:9" s="1" customFormat="1">
      <c r="C264" s="90" t="s">
        <v>42</v>
      </c>
      <c r="D264" s="136" t="s">
        <v>13</v>
      </c>
      <c r="E264" s="62" t="s">
        <v>36</v>
      </c>
      <c r="F264" s="140">
        <v>490</v>
      </c>
      <c r="G264" s="64">
        <v>84</v>
      </c>
      <c r="H264" s="136">
        <f>_xlfn.XLOOKUP(data[[#This Row],[Product]],products[Product],products[Cost per unit])</f>
        <v>9.77</v>
      </c>
      <c r="I264" s="81">
        <f>data[[#This Row],[Cost per unit]]*data[[#This Row],[Units]]</f>
        <v>820.68</v>
      </c>
    </row>
    <row r="265" spans="3:9" s="1" customFormat="1">
      <c r="C265" s="90" t="s">
        <v>12</v>
      </c>
      <c r="D265" s="136" t="s">
        <v>8</v>
      </c>
      <c r="E265" s="62" t="s">
        <v>44</v>
      </c>
      <c r="F265" s="140">
        <v>434</v>
      </c>
      <c r="G265" s="64">
        <v>87</v>
      </c>
      <c r="H265" s="136">
        <f>_xlfn.XLOOKUP(data[[#This Row],[Product]],products[Product],products[Cost per unit])</f>
        <v>9</v>
      </c>
      <c r="I265" s="81">
        <f>data[[#This Row],[Cost per unit]]*data[[#This Row],[Units]]</f>
        <v>783</v>
      </c>
    </row>
    <row r="266" spans="3:9" s="1" customFormat="1">
      <c r="C266" s="90" t="s">
        <v>39</v>
      </c>
      <c r="D266" s="136" t="s">
        <v>33</v>
      </c>
      <c r="E266" s="62" t="s">
        <v>9</v>
      </c>
      <c r="F266" s="140">
        <v>10129</v>
      </c>
      <c r="G266" s="64">
        <v>312</v>
      </c>
      <c r="H266" s="136">
        <f>_xlfn.XLOOKUP(data[[#This Row],[Product]],products[Product],products[Cost per unit])</f>
        <v>14.49</v>
      </c>
      <c r="I266" s="81">
        <f>data[[#This Row],[Cost per unit]]*data[[#This Row],[Units]]</f>
        <v>4520.88</v>
      </c>
    </row>
    <row r="267" spans="3:9" s="1" customFormat="1">
      <c r="C267" s="90" t="s">
        <v>46</v>
      </c>
      <c r="D267" s="136" t="s">
        <v>26</v>
      </c>
      <c r="E267" s="62" t="s">
        <v>53</v>
      </c>
      <c r="F267" s="140">
        <v>1652</v>
      </c>
      <c r="G267" s="64">
        <v>102</v>
      </c>
      <c r="H267" s="136">
        <f>_xlfn.XLOOKUP(data[[#This Row],[Product]],products[Product],products[Cost per unit])</f>
        <v>10.38</v>
      </c>
      <c r="I267" s="81">
        <f>data[[#This Row],[Cost per unit]]*data[[#This Row],[Units]]</f>
        <v>1058.76</v>
      </c>
    </row>
    <row r="268" spans="3:9" s="1" customFormat="1">
      <c r="C268" s="90" t="s">
        <v>12</v>
      </c>
      <c r="D268" s="136" t="s">
        <v>33</v>
      </c>
      <c r="E268" s="62" t="s">
        <v>44</v>
      </c>
      <c r="F268" s="140">
        <v>6433</v>
      </c>
      <c r="G268" s="64">
        <v>78</v>
      </c>
      <c r="H268" s="136">
        <f>_xlfn.XLOOKUP(data[[#This Row],[Product]],products[Product],products[Cost per unit])</f>
        <v>9</v>
      </c>
      <c r="I268" s="81">
        <f>data[[#This Row],[Cost per unit]]*data[[#This Row],[Units]]</f>
        <v>702</v>
      </c>
    </row>
    <row r="269" spans="3:9" s="1" customFormat="1">
      <c r="C269" s="90" t="s">
        <v>46</v>
      </c>
      <c r="D269" s="136" t="s">
        <v>49</v>
      </c>
      <c r="E269" s="62" t="s">
        <v>47</v>
      </c>
      <c r="F269" s="140">
        <v>2212</v>
      </c>
      <c r="G269" s="64">
        <v>117</v>
      </c>
      <c r="H269" s="136">
        <f>_xlfn.XLOOKUP(data[[#This Row],[Product]],products[Product],products[Cost per unit])</f>
        <v>6.49</v>
      </c>
      <c r="I269" s="81">
        <f>data[[#This Row],[Cost per unit]]*data[[#This Row],[Units]]</f>
        <v>759.33</v>
      </c>
    </row>
    <row r="270" spans="3:9" s="1" customFormat="1">
      <c r="C270" s="90" t="s">
        <v>20</v>
      </c>
      <c r="D270" s="136" t="s">
        <v>13</v>
      </c>
      <c r="E270" s="62" t="s">
        <v>38</v>
      </c>
      <c r="F270" s="140">
        <v>609</v>
      </c>
      <c r="G270" s="64">
        <v>99</v>
      </c>
      <c r="H270" s="136">
        <f>_xlfn.XLOOKUP(data[[#This Row],[Product]],products[Product],products[Cost per unit])</f>
        <v>7.64</v>
      </c>
      <c r="I270" s="81">
        <f>data[[#This Row],[Cost per unit]]*data[[#This Row],[Units]]</f>
        <v>756.36</v>
      </c>
    </row>
    <row r="271" spans="3:9" s="1" customFormat="1">
      <c r="C271" s="90" t="s">
        <v>7</v>
      </c>
      <c r="D271" s="136" t="s">
        <v>13</v>
      </c>
      <c r="E271" s="62" t="s">
        <v>48</v>
      </c>
      <c r="F271" s="140">
        <v>1638</v>
      </c>
      <c r="G271" s="64">
        <v>48</v>
      </c>
      <c r="H271" s="136">
        <f>_xlfn.XLOOKUP(data[[#This Row],[Product]],products[Product],products[Cost per unit])</f>
        <v>4.97</v>
      </c>
      <c r="I271" s="81">
        <f>data[[#This Row],[Cost per unit]]*data[[#This Row],[Units]]</f>
        <v>238.56</v>
      </c>
    </row>
    <row r="272" spans="3:9" s="1" customFormat="1">
      <c r="C272" s="90" t="s">
        <v>39</v>
      </c>
      <c r="D272" s="136" t="s">
        <v>49</v>
      </c>
      <c r="E272" s="62" t="s">
        <v>24</v>
      </c>
      <c r="F272" s="140">
        <v>3829</v>
      </c>
      <c r="G272" s="64">
        <v>24</v>
      </c>
      <c r="H272" s="136">
        <f>_xlfn.XLOOKUP(data[[#This Row],[Product]],products[Product],products[Cost per unit])</f>
        <v>11.73</v>
      </c>
      <c r="I272" s="81">
        <f>data[[#This Row],[Cost per unit]]*data[[#This Row],[Units]]</f>
        <v>281.52</v>
      </c>
    </row>
    <row r="273" spans="3:9" s="1" customFormat="1">
      <c r="C273" s="90" t="s">
        <v>7</v>
      </c>
      <c r="D273" s="136" t="s">
        <v>26</v>
      </c>
      <c r="E273" s="62" t="s">
        <v>24</v>
      </c>
      <c r="F273" s="140">
        <v>5775</v>
      </c>
      <c r="G273" s="64">
        <v>42</v>
      </c>
      <c r="H273" s="136">
        <f>_xlfn.XLOOKUP(data[[#This Row],[Product]],products[Product],products[Cost per unit])</f>
        <v>11.73</v>
      </c>
      <c r="I273" s="81">
        <f>data[[#This Row],[Cost per unit]]*data[[#This Row],[Units]]</f>
        <v>492.66</v>
      </c>
    </row>
    <row r="274" spans="3:9" s="1" customFormat="1">
      <c r="C274" s="90" t="s">
        <v>25</v>
      </c>
      <c r="D274" s="136" t="s">
        <v>13</v>
      </c>
      <c r="E274" s="62" t="s">
        <v>41</v>
      </c>
      <c r="F274" s="140">
        <v>1071</v>
      </c>
      <c r="G274" s="64">
        <v>270</v>
      </c>
      <c r="H274" s="136">
        <f>_xlfn.XLOOKUP(data[[#This Row],[Product]],products[Product],products[Cost per unit])</f>
        <v>10.62</v>
      </c>
      <c r="I274" s="81">
        <f>data[[#This Row],[Cost per unit]]*data[[#This Row],[Units]]</f>
        <v>2867.3999999999996</v>
      </c>
    </row>
    <row r="275" spans="3:9" s="1" customFormat="1">
      <c r="C275" s="90" t="s">
        <v>12</v>
      </c>
      <c r="D275" s="136" t="s">
        <v>21</v>
      </c>
      <c r="E275" s="62" t="s">
        <v>47</v>
      </c>
      <c r="F275" s="140">
        <v>5019</v>
      </c>
      <c r="G275" s="64">
        <v>150</v>
      </c>
      <c r="H275" s="136">
        <f>_xlfn.XLOOKUP(data[[#This Row],[Product]],products[Product],products[Cost per unit])</f>
        <v>6.49</v>
      </c>
      <c r="I275" s="81">
        <f>data[[#This Row],[Cost per unit]]*data[[#This Row],[Units]]</f>
        <v>973.5</v>
      </c>
    </row>
    <row r="276" spans="3:9" s="1" customFormat="1">
      <c r="C276" s="90" t="s">
        <v>45</v>
      </c>
      <c r="D276" s="136" t="s">
        <v>8</v>
      </c>
      <c r="E276" s="62" t="s">
        <v>24</v>
      </c>
      <c r="F276" s="140">
        <v>2863</v>
      </c>
      <c r="G276" s="64">
        <v>42</v>
      </c>
      <c r="H276" s="136">
        <f>_xlfn.XLOOKUP(data[[#This Row],[Product]],products[Product],products[Cost per unit])</f>
        <v>11.73</v>
      </c>
      <c r="I276" s="81">
        <f>data[[#This Row],[Cost per unit]]*data[[#This Row],[Units]]</f>
        <v>492.66</v>
      </c>
    </row>
    <row r="277" spans="3:9" s="1" customFormat="1">
      <c r="C277" s="90" t="s">
        <v>7</v>
      </c>
      <c r="D277" s="136" t="s">
        <v>13</v>
      </c>
      <c r="E277" s="62" t="s">
        <v>51</v>
      </c>
      <c r="F277" s="140">
        <v>1617</v>
      </c>
      <c r="G277" s="64">
        <v>126</v>
      </c>
      <c r="H277" s="136">
        <f>_xlfn.XLOOKUP(data[[#This Row],[Product]],products[Product],products[Cost per unit])</f>
        <v>7.16</v>
      </c>
      <c r="I277" s="81">
        <f>data[[#This Row],[Cost per unit]]*data[[#This Row],[Units]]</f>
        <v>902.16</v>
      </c>
    </row>
    <row r="278" spans="3:9" s="1" customFormat="1">
      <c r="C278" s="90" t="s">
        <v>25</v>
      </c>
      <c r="D278" s="136" t="s">
        <v>8</v>
      </c>
      <c r="E278" s="62" t="s">
        <v>50</v>
      </c>
      <c r="F278" s="140">
        <v>6818</v>
      </c>
      <c r="G278" s="64">
        <v>6</v>
      </c>
      <c r="H278" s="136">
        <f>_xlfn.XLOOKUP(data[[#This Row],[Product]],products[Product],products[Cost per unit])</f>
        <v>5.6</v>
      </c>
      <c r="I278" s="81">
        <f>data[[#This Row],[Cost per unit]]*data[[#This Row],[Units]]</f>
        <v>33.599999999999994</v>
      </c>
    </row>
    <row r="279" spans="3:9" s="1" customFormat="1">
      <c r="C279" s="90" t="s">
        <v>46</v>
      </c>
      <c r="D279" s="136" t="s">
        <v>13</v>
      </c>
      <c r="E279" s="62" t="s">
        <v>24</v>
      </c>
      <c r="F279" s="140">
        <v>6657</v>
      </c>
      <c r="G279" s="64">
        <v>276</v>
      </c>
      <c r="H279" s="136">
        <f>_xlfn.XLOOKUP(data[[#This Row],[Product]],products[Product],products[Cost per unit])</f>
        <v>11.73</v>
      </c>
      <c r="I279" s="81">
        <f>data[[#This Row],[Cost per unit]]*data[[#This Row],[Units]]</f>
        <v>3237.48</v>
      </c>
    </row>
    <row r="280" spans="3:9" s="1" customFormat="1">
      <c r="C280" s="90" t="s">
        <v>46</v>
      </c>
      <c r="D280" s="136" t="s">
        <v>49</v>
      </c>
      <c r="E280" s="62" t="s">
        <v>32</v>
      </c>
      <c r="F280" s="140">
        <v>2919</v>
      </c>
      <c r="G280" s="64">
        <v>93</v>
      </c>
      <c r="H280" s="136">
        <f>_xlfn.XLOOKUP(data[[#This Row],[Product]],products[Product],products[Cost per unit])</f>
        <v>3.11</v>
      </c>
      <c r="I280" s="81">
        <f>data[[#This Row],[Cost per unit]]*data[[#This Row],[Units]]</f>
        <v>289.22999999999996</v>
      </c>
    </row>
    <row r="281" spans="3:9" s="1" customFormat="1">
      <c r="C281" s="90" t="s">
        <v>45</v>
      </c>
      <c r="D281" s="136" t="s">
        <v>21</v>
      </c>
      <c r="E281" s="62" t="s">
        <v>34</v>
      </c>
      <c r="F281" s="140">
        <v>3094</v>
      </c>
      <c r="G281" s="64">
        <v>246</v>
      </c>
      <c r="H281" s="136">
        <f>_xlfn.XLOOKUP(data[[#This Row],[Product]],products[Product],products[Cost per unit])</f>
        <v>5.79</v>
      </c>
      <c r="I281" s="81">
        <f>data[[#This Row],[Cost per unit]]*data[[#This Row],[Units]]</f>
        <v>1424.34</v>
      </c>
    </row>
    <row r="282" spans="3:9" s="1" customFormat="1">
      <c r="C282" s="90" t="s">
        <v>25</v>
      </c>
      <c r="D282" s="136" t="s">
        <v>26</v>
      </c>
      <c r="E282" s="62" t="s">
        <v>48</v>
      </c>
      <c r="F282" s="140">
        <v>2989</v>
      </c>
      <c r="G282" s="64">
        <v>3</v>
      </c>
      <c r="H282" s="136">
        <f>_xlfn.XLOOKUP(data[[#This Row],[Product]],products[Product],products[Cost per unit])</f>
        <v>4.97</v>
      </c>
      <c r="I282" s="81">
        <f>data[[#This Row],[Cost per unit]]*data[[#This Row],[Units]]</f>
        <v>14.91</v>
      </c>
    </row>
    <row r="283" spans="3:9" s="1" customFormat="1">
      <c r="C283" s="90" t="s">
        <v>12</v>
      </c>
      <c r="D283" s="136" t="s">
        <v>33</v>
      </c>
      <c r="E283" s="62" t="s">
        <v>52</v>
      </c>
      <c r="F283" s="140">
        <v>2268</v>
      </c>
      <c r="G283" s="64">
        <v>63</v>
      </c>
      <c r="H283" s="136">
        <f>_xlfn.XLOOKUP(data[[#This Row],[Product]],products[Product],products[Cost per unit])</f>
        <v>16.73</v>
      </c>
      <c r="I283" s="81">
        <f>data[[#This Row],[Cost per unit]]*data[[#This Row],[Units]]</f>
        <v>1053.99</v>
      </c>
    </row>
    <row r="284" spans="3:9" s="1" customFormat="1">
      <c r="C284" s="90" t="s">
        <v>42</v>
      </c>
      <c r="D284" s="136" t="s">
        <v>13</v>
      </c>
      <c r="E284" s="62" t="s">
        <v>34</v>
      </c>
      <c r="F284" s="140">
        <v>4753</v>
      </c>
      <c r="G284" s="64">
        <v>246</v>
      </c>
      <c r="H284" s="136">
        <f>_xlfn.XLOOKUP(data[[#This Row],[Product]],products[Product],products[Cost per unit])</f>
        <v>5.79</v>
      </c>
      <c r="I284" s="81">
        <f>data[[#This Row],[Cost per unit]]*data[[#This Row],[Units]]</f>
        <v>1424.34</v>
      </c>
    </row>
    <row r="285" spans="3:9" s="1" customFormat="1">
      <c r="C285" s="90" t="s">
        <v>45</v>
      </c>
      <c r="D285" s="136" t="s">
        <v>49</v>
      </c>
      <c r="E285" s="62" t="s">
        <v>38</v>
      </c>
      <c r="F285" s="140">
        <v>7511</v>
      </c>
      <c r="G285" s="64">
        <v>120</v>
      </c>
      <c r="H285" s="136">
        <f>_xlfn.XLOOKUP(data[[#This Row],[Product]],products[Product],products[Cost per unit])</f>
        <v>7.64</v>
      </c>
      <c r="I285" s="81">
        <f>data[[#This Row],[Cost per unit]]*data[[#This Row],[Units]]</f>
        <v>916.8</v>
      </c>
    </row>
    <row r="286" spans="3:9" s="1" customFormat="1">
      <c r="C286" s="90" t="s">
        <v>45</v>
      </c>
      <c r="D286" s="136" t="s">
        <v>33</v>
      </c>
      <c r="E286" s="62" t="s">
        <v>34</v>
      </c>
      <c r="F286" s="140">
        <v>4326</v>
      </c>
      <c r="G286" s="64">
        <v>348</v>
      </c>
      <c r="H286" s="136">
        <f>_xlfn.XLOOKUP(data[[#This Row],[Product]],products[Product],products[Cost per unit])</f>
        <v>5.79</v>
      </c>
      <c r="I286" s="81">
        <f>data[[#This Row],[Cost per unit]]*data[[#This Row],[Units]]</f>
        <v>2014.92</v>
      </c>
    </row>
    <row r="287" spans="3:9" s="1" customFormat="1">
      <c r="C287" s="90" t="s">
        <v>20</v>
      </c>
      <c r="D287" s="136" t="s">
        <v>49</v>
      </c>
      <c r="E287" s="62" t="s">
        <v>47</v>
      </c>
      <c r="F287" s="140">
        <v>4935</v>
      </c>
      <c r="G287" s="64">
        <v>126</v>
      </c>
      <c r="H287" s="136">
        <f>_xlfn.XLOOKUP(data[[#This Row],[Product]],products[Product],products[Cost per unit])</f>
        <v>6.49</v>
      </c>
      <c r="I287" s="81">
        <f>data[[#This Row],[Cost per unit]]*data[[#This Row],[Units]]</f>
        <v>817.74</v>
      </c>
    </row>
    <row r="288" spans="3:9" s="1" customFormat="1">
      <c r="C288" s="90" t="s">
        <v>25</v>
      </c>
      <c r="D288" s="136" t="s">
        <v>13</v>
      </c>
      <c r="E288" s="62" t="s">
        <v>9</v>
      </c>
      <c r="F288" s="140">
        <v>4781</v>
      </c>
      <c r="G288" s="64">
        <v>123</v>
      </c>
      <c r="H288" s="136">
        <f>_xlfn.XLOOKUP(data[[#This Row],[Product]],products[Product],products[Cost per unit])</f>
        <v>14.49</v>
      </c>
      <c r="I288" s="81">
        <f>data[[#This Row],[Cost per unit]]*data[[#This Row],[Units]]</f>
        <v>1782.27</v>
      </c>
    </row>
    <row r="289" spans="3:9" s="1" customFormat="1">
      <c r="C289" s="90" t="s">
        <v>42</v>
      </c>
      <c r="D289" s="136" t="s">
        <v>33</v>
      </c>
      <c r="E289" s="62" t="s">
        <v>27</v>
      </c>
      <c r="F289" s="140">
        <v>7483</v>
      </c>
      <c r="G289" s="64">
        <v>45</v>
      </c>
      <c r="H289" s="136">
        <f>_xlfn.XLOOKUP(data[[#This Row],[Product]],products[Product],products[Cost per unit])</f>
        <v>13.15</v>
      </c>
      <c r="I289" s="81">
        <f>data[[#This Row],[Cost per unit]]*data[[#This Row],[Units]]</f>
        <v>591.75</v>
      </c>
    </row>
    <row r="290" spans="3:9" s="1" customFormat="1">
      <c r="C290" s="90" t="s">
        <v>54</v>
      </c>
      <c r="D290" s="136" t="s">
        <v>33</v>
      </c>
      <c r="E290" s="62" t="s">
        <v>18</v>
      </c>
      <c r="F290" s="140">
        <v>6860</v>
      </c>
      <c r="G290" s="64">
        <v>126</v>
      </c>
      <c r="H290" s="136">
        <f>_xlfn.XLOOKUP(data[[#This Row],[Product]],products[Product],products[Cost per unit])</f>
        <v>11.88</v>
      </c>
      <c r="I290" s="81">
        <f>data[[#This Row],[Cost per unit]]*data[[#This Row],[Units]]</f>
        <v>1496.88</v>
      </c>
    </row>
    <row r="291" spans="3:9" s="1" customFormat="1">
      <c r="C291" s="90" t="s">
        <v>7</v>
      </c>
      <c r="D291" s="136" t="s">
        <v>8</v>
      </c>
      <c r="E291" s="62" t="s">
        <v>51</v>
      </c>
      <c r="F291" s="140">
        <v>9002</v>
      </c>
      <c r="G291" s="64">
        <v>72</v>
      </c>
      <c r="H291" s="136">
        <f>_xlfn.XLOOKUP(data[[#This Row],[Product]],products[Product],products[Cost per unit])</f>
        <v>7.16</v>
      </c>
      <c r="I291" s="81">
        <f>data[[#This Row],[Cost per unit]]*data[[#This Row],[Units]]</f>
        <v>515.52</v>
      </c>
    </row>
    <row r="292" spans="3:9" s="1" customFormat="1">
      <c r="C292" s="90" t="s">
        <v>25</v>
      </c>
      <c r="D292" s="136" t="s">
        <v>21</v>
      </c>
      <c r="E292" s="62" t="s">
        <v>51</v>
      </c>
      <c r="F292" s="140">
        <v>1400</v>
      </c>
      <c r="G292" s="64">
        <v>135</v>
      </c>
      <c r="H292" s="136">
        <f>_xlfn.XLOOKUP(data[[#This Row],[Product]],products[Product],products[Cost per unit])</f>
        <v>7.16</v>
      </c>
      <c r="I292" s="81">
        <f>data[[#This Row],[Cost per unit]]*data[[#This Row],[Units]]</f>
        <v>966.6</v>
      </c>
    </row>
    <row r="293" spans="3:9" s="1" customFormat="1">
      <c r="C293" s="90" t="s">
        <v>54</v>
      </c>
      <c r="D293" s="136" t="s">
        <v>49</v>
      </c>
      <c r="E293" s="62" t="s">
        <v>36</v>
      </c>
      <c r="F293" s="140">
        <v>4053</v>
      </c>
      <c r="G293" s="64">
        <v>24</v>
      </c>
      <c r="H293" s="136">
        <f>_xlfn.XLOOKUP(data[[#This Row],[Product]],products[Product],products[Cost per unit])</f>
        <v>9.77</v>
      </c>
      <c r="I293" s="81">
        <f>data[[#This Row],[Cost per unit]]*data[[#This Row],[Units]]</f>
        <v>234.48</v>
      </c>
    </row>
    <row r="294" spans="3:9" s="1" customFormat="1">
      <c r="C294" s="90" t="s">
        <v>39</v>
      </c>
      <c r="D294" s="136" t="s">
        <v>21</v>
      </c>
      <c r="E294" s="62" t="s">
        <v>34</v>
      </c>
      <c r="F294" s="140">
        <v>2149</v>
      </c>
      <c r="G294" s="64">
        <v>117</v>
      </c>
      <c r="H294" s="136">
        <f>_xlfn.XLOOKUP(data[[#This Row],[Product]],products[Product],products[Cost per unit])</f>
        <v>5.79</v>
      </c>
      <c r="I294" s="81">
        <f>data[[#This Row],[Cost per unit]]*data[[#This Row],[Units]]</f>
        <v>677.43</v>
      </c>
    </row>
    <row r="295" spans="3:9" s="1" customFormat="1">
      <c r="C295" s="90" t="s">
        <v>46</v>
      </c>
      <c r="D295" s="136" t="s">
        <v>26</v>
      </c>
      <c r="E295" s="62" t="s">
        <v>51</v>
      </c>
      <c r="F295" s="140">
        <v>3640</v>
      </c>
      <c r="G295" s="64">
        <v>51</v>
      </c>
      <c r="H295" s="136">
        <f>_xlfn.XLOOKUP(data[[#This Row],[Product]],products[Product],products[Cost per unit])</f>
        <v>7.16</v>
      </c>
      <c r="I295" s="81">
        <f>data[[#This Row],[Cost per unit]]*data[[#This Row],[Units]]</f>
        <v>365.16</v>
      </c>
    </row>
    <row r="296" spans="3:9" s="1" customFormat="1">
      <c r="C296" s="90" t="s">
        <v>45</v>
      </c>
      <c r="D296" s="136" t="s">
        <v>26</v>
      </c>
      <c r="E296" s="62" t="s">
        <v>47</v>
      </c>
      <c r="F296" s="140">
        <v>630</v>
      </c>
      <c r="G296" s="64">
        <v>36</v>
      </c>
      <c r="H296" s="136">
        <f>_xlfn.XLOOKUP(data[[#This Row],[Product]],products[Product],products[Cost per unit])</f>
        <v>6.49</v>
      </c>
      <c r="I296" s="81">
        <f>data[[#This Row],[Cost per unit]]*data[[#This Row],[Units]]</f>
        <v>233.64000000000001</v>
      </c>
    </row>
    <row r="297" spans="3:9" s="1" customFormat="1">
      <c r="C297" s="90" t="s">
        <v>17</v>
      </c>
      <c r="D297" s="136" t="s">
        <v>13</v>
      </c>
      <c r="E297" s="62" t="s">
        <v>52</v>
      </c>
      <c r="F297" s="140">
        <v>2429</v>
      </c>
      <c r="G297" s="64">
        <v>144</v>
      </c>
      <c r="H297" s="136">
        <f>_xlfn.XLOOKUP(data[[#This Row],[Product]],products[Product],products[Cost per unit])</f>
        <v>16.73</v>
      </c>
      <c r="I297" s="81">
        <f>data[[#This Row],[Cost per unit]]*data[[#This Row],[Units]]</f>
        <v>2409.12</v>
      </c>
    </row>
    <row r="298" spans="3:9" s="1" customFormat="1">
      <c r="C298" s="90" t="s">
        <v>17</v>
      </c>
      <c r="D298" s="136" t="s">
        <v>21</v>
      </c>
      <c r="E298" s="62" t="s">
        <v>27</v>
      </c>
      <c r="F298" s="140">
        <v>2142</v>
      </c>
      <c r="G298" s="64">
        <v>114</v>
      </c>
      <c r="H298" s="136">
        <f>_xlfn.XLOOKUP(data[[#This Row],[Product]],products[Product],products[Cost per unit])</f>
        <v>13.15</v>
      </c>
      <c r="I298" s="81">
        <f>data[[#This Row],[Cost per unit]]*data[[#This Row],[Units]]</f>
        <v>1499.1000000000001</v>
      </c>
    </row>
    <row r="299" spans="3:9" s="1" customFormat="1">
      <c r="C299" s="90" t="s">
        <v>39</v>
      </c>
      <c r="D299" s="136" t="s">
        <v>8</v>
      </c>
      <c r="E299" s="62" t="s">
        <v>9</v>
      </c>
      <c r="F299" s="140">
        <v>6454</v>
      </c>
      <c r="G299" s="64">
        <v>54</v>
      </c>
      <c r="H299" s="136">
        <f>_xlfn.XLOOKUP(data[[#This Row],[Product]],products[Product],products[Cost per unit])</f>
        <v>14.49</v>
      </c>
      <c r="I299" s="81">
        <f>data[[#This Row],[Cost per unit]]*data[[#This Row],[Units]]</f>
        <v>782.46</v>
      </c>
    </row>
    <row r="300" spans="3:9" s="1" customFormat="1">
      <c r="C300" s="90" t="s">
        <v>39</v>
      </c>
      <c r="D300" s="136" t="s">
        <v>8</v>
      </c>
      <c r="E300" s="62" t="s">
        <v>29</v>
      </c>
      <c r="F300" s="140">
        <v>4487</v>
      </c>
      <c r="G300" s="64">
        <v>333</v>
      </c>
      <c r="H300" s="136">
        <f>_xlfn.XLOOKUP(data[[#This Row],[Product]],products[Product],products[Cost per unit])</f>
        <v>8.7899999999999991</v>
      </c>
      <c r="I300" s="81">
        <f>data[[#This Row],[Cost per unit]]*data[[#This Row],[Units]]</f>
        <v>2927.0699999999997</v>
      </c>
    </row>
    <row r="301" spans="3:9" s="1" customFormat="1">
      <c r="C301" s="90" t="s">
        <v>46</v>
      </c>
      <c r="D301" s="136" t="s">
        <v>8</v>
      </c>
      <c r="E301" s="62" t="s">
        <v>18</v>
      </c>
      <c r="F301" s="140">
        <v>938</v>
      </c>
      <c r="G301" s="64">
        <v>366</v>
      </c>
      <c r="H301" s="136">
        <f>_xlfn.XLOOKUP(data[[#This Row],[Product]],products[Product],products[Cost per unit])</f>
        <v>11.88</v>
      </c>
      <c r="I301" s="81">
        <f>data[[#This Row],[Cost per unit]]*data[[#This Row],[Units]]</f>
        <v>4348.08</v>
      </c>
    </row>
    <row r="302" spans="3:9" s="1" customFormat="1">
      <c r="C302" s="90" t="s">
        <v>46</v>
      </c>
      <c r="D302" s="136" t="s">
        <v>33</v>
      </c>
      <c r="E302" s="62" t="s">
        <v>50</v>
      </c>
      <c r="F302" s="140">
        <v>8841</v>
      </c>
      <c r="G302" s="64">
        <v>303</v>
      </c>
      <c r="H302" s="136">
        <f>_xlfn.XLOOKUP(data[[#This Row],[Product]],products[Product],products[Cost per unit])</f>
        <v>5.6</v>
      </c>
      <c r="I302" s="81">
        <f>data[[#This Row],[Cost per unit]]*data[[#This Row],[Units]]</f>
        <v>1696.8</v>
      </c>
    </row>
    <row r="303" spans="3:9" s="1" customFormat="1">
      <c r="C303" s="90" t="s">
        <v>45</v>
      </c>
      <c r="D303" s="136" t="s">
        <v>26</v>
      </c>
      <c r="E303" s="62" t="s">
        <v>30</v>
      </c>
      <c r="F303" s="140">
        <v>4018</v>
      </c>
      <c r="G303" s="64">
        <v>126</v>
      </c>
      <c r="H303" s="136">
        <f>_xlfn.XLOOKUP(data[[#This Row],[Product]],products[Product],products[Cost per unit])</f>
        <v>12.37</v>
      </c>
      <c r="I303" s="81">
        <f>data[[#This Row],[Cost per unit]]*data[[#This Row],[Units]]</f>
        <v>1558.62</v>
      </c>
    </row>
    <row r="304" spans="3:9" s="1" customFormat="1">
      <c r="C304" s="90" t="s">
        <v>20</v>
      </c>
      <c r="D304" s="136" t="s">
        <v>8</v>
      </c>
      <c r="E304" s="62" t="s">
        <v>24</v>
      </c>
      <c r="F304" s="140">
        <v>714</v>
      </c>
      <c r="G304" s="64">
        <v>231</v>
      </c>
      <c r="H304" s="136">
        <f>_xlfn.XLOOKUP(data[[#This Row],[Product]],products[Product],products[Cost per unit])</f>
        <v>11.73</v>
      </c>
      <c r="I304" s="81">
        <f>data[[#This Row],[Cost per unit]]*data[[#This Row],[Units]]</f>
        <v>2709.63</v>
      </c>
    </row>
    <row r="305" spans="3:9" ht="15" thickBot="1">
      <c r="C305" s="91" t="s">
        <v>17</v>
      </c>
      <c r="D305" s="137" t="s">
        <v>33</v>
      </c>
      <c r="E305" s="84" t="s">
        <v>27</v>
      </c>
      <c r="F305" s="141">
        <v>3850</v>
      </c>
      <c r="G305" s="92">
        <v>102</v>
      </c>
      <c r="H305" s="137">
        <f>_xlfn.XLOOKUP(data[[#This Row],[Product]],products[Product],products[Cost per unit])</f>
        <v>13.15</v>
      </c>
      <c r="I305" s="85">
        <f>data[[#This Row],[Cost per unit]]*data[[#This Row],[Units]]</f>
        <v>1341.3</v>
      </c>
    </row>
    <row r="312" spans="3:9">
      <c r="F312" s="4"/>
      <c r="G312" s="2"/>
    </row>
    <row r="313" spans="3:9">
      <c r="F313" s="4"/>
      <c r="G313" s="2"/>
    </row>
    <row r="314" spans="3:9">
      <c r="F314" s="4"/>
      <c r="G314" s="2"/>
    </row>
    <row r="315" spans="3:9">
      <c r="F315" s="4"/>
      <c r="G315" s="2"/>
    </row>
    <row r="316" spans="3:9">
      <c r="F316" s="4"/>
      <c r="G316" s="2"/>
    </row>
    <row r="317" spans="3:9">
      <c r="F317" s="4"/>
      <c r="G317" s="2"/>
    </row>
    <row r="318" spans="3:9">
      <c r="F318" s="4"/>
      <c r="G318" s="2"/>
    </row>
    <row r="319" spans="3:9">
      <c r="F319" s="4"/>
      <c r="G319" s="2"/>
    </row>
    <row r="320" spans="3:9">
      <c r="F320" s="4"/>
      <c r="G320" s="2"/>
    </row>
    <row r="321" spans="6:7" s="1" customFormat="1">
      <c r="F321" s="4"/>
      <c r="G321" s="2"/>
    </row>
    <row r="322" spans="6:7" s="1" customFormat="1">
      <c r="F322" s="4"/>
      <c r="G322" s="2"/>
    </row>
    <row r="323" spans="6:7" s="1" customFormat="1">
      <c r="F323" s="4"/>
      <c r="G323" s="2"/>
    </row>
    <row r="324" spans="6:7" s="1" customFormat="1">
      <c r="F324" s="4"/>
      <c r="G324" s="2"/>
    </row>
    <row r="325" spans="6:7" s="1" customFormat="1">
      <c r="F325" s="4"/>
      <c r="G325" s="2"/>
    </row>
    <row r="326" spans="6:7" s="1" customFormat="1">
      <c r="F326" s="4"/>
      <c r="G326" s="2"/>
    </row>
    <row r="327" spans="6:7" s="1" customFormat="1">
      <c r="F327" s="4"/>
      <c r="G327" s="2"/>
    </row>
    <row r="328" spans="6:7" s="1" customFormat="1">
      <c r="F328" s="4"/>
      <c r="G328" s="2"/>
    </row>
    <row r="329" spans="6:7" s="1" customFormat="1">
      <c r="F329" s="4"/>
      <c r="G329" s="2"/>
    </row>
    <row r="330" spans="6:7" s="1" customFormat="1">
      <c r="F330" s="4"/>
      <c r="G330" s="2"/>
    </row>
    <row r="331" spans="6:7" s="1" customFormat="1">
      <c r="F331" s="4"/>
      <c r="G331" s="2"/>
    </row>
    <row r="332" spans="6:7" s="1" customFormat="1">
      <c r="F332" s="4"/>
      <c r="G332" s="2"/>
    </row>
    <row r="333" spans="6:7" s="1" customFormat="1">
      <c r="F333" s="4"/>
      <c r="G333" s="2"/>
    </row>
    <row r="334" spans="6:7" s="1" customFormat="1">
      <c r="F334" s="4"/>
      <c r="G334" s="2"/>
    </row>
    <row r="335" spans="6:7" s="1" customFormat="1">
      <c r="F335" s="4"/>
      <c r="G335" s="2"/>
    </row>
    <row r="336" spans="6:7" s="1" customFormat="1">
      <c r="F336" s="4"/>
      <c r="G336" s="2"/>
    </row>
    <row r="337" spans="6:7" s="1" customFormat="1">
      <c r="F337" s="4"/>
      <c r="G337" s="2"/>
    </row>
    <row r="338" spans="6:7" s="1" customFormat="1">
      <c r="F338" s="4"/>
      <c r="G338" s="2"/>
    </row>
    <row r="339" spans="6:7" s="1" customFormat="1">
      <c r="F339" s="4"/>
      <c r="G339" s="2"/>
    </row>
    <row r="340" spans="6:7" s="1" customFormat="1">
      <c r="F340" s="4"/>
      <c r="G340" s="2"/>
    </row>
    <row r="341" spans="6:7" s="1" customFormat="1">
      <c r="F341" s="4"/>
      <c r="G341" s="2"/>
    </row>
    <row r="342" spans="6:7" s="1" customFormat="1">
      <c r="F342" s="4"/>
      <c r="G342" s="2"/>
    </row>
    <row r="343" spans="6:7" s="1" customFormat="1">
      <c r="F343" s="4"/>
      <c r="G343" s="2"/>
    </row>
    <row r="344" spans="6:7" s="1" customFormat="1">
      <c r="F344" s="4"/>
      <c r="G344" s="2"/>
    </row>
    <row r="345" spans="6:7" s="1" customFormat="1">
      <c r="F345" s="4"/>
      <c r="G345" s="2"/>
    </row>
    <row r="346" spans="6:7" s="1" customFormat="1">
      <c r="F346" s="4"/>
      <c r="G346" s="2"/>
    </row>
    <row r="347" spans="6:7" s="1" customFormat="1">
      <c r="F347" s="4"/>
      <c r="G347" s="2"/>
    </row>
    <row r="348" spans="6:7" s="1" customFormat="1">
      <c r="F348" s="4"/>
      <c r="G348" s="2"/>
    </row>
    <row r="349" spans="6:7" s="1" customFormat="1">
      <c r="F349" s="4"/>
      <c r="G349" s="2"/>
    </row>
    <row r="350" spans="6:7" s="1" customFormat="1">
      <c r="F350" s="4"/>
      <c r="G350" s="2"/>
    </row>
    <row r="351" spans="6:7" s="1" customFormat="1">
      <c r="F351" s="4"/>
      <c r="G351" s="2"/>
    </row>
    <row r="352" spans="6:7" s="1" customFormat="1">
      <c r="F352" s="4"/>
      <c r="G352" s="2"/>
    </row>
    <row r="353" spans="6:7" s="1" customFormat="1">
      <c r="F353" s="4"/>
      <c r="G353" s="2"/>
    </row>
    <row r="354" spans="6:7" s="1" customFormat="1">
      <c r="F354" s="4"/>
      <c r="G354" s="2"/>
    </row>
    <row r="355" spans="6:7" s="1" customFormat="1">
      <c r="F355" s="4"/>
      <c r="G355" s="2"/>
    </row>
    <row r="356" spans="6:7" s="1" customFormat="1">
      <c r="F356" s="4"/>
      <c r="G356" s="2"/>
    </row>
    <row r="357" spans="6:7" s="1" customFormat="1">
      <c r="F357" s="4"/>
      <c r="G357" s="2"/>
    </row>
    <row r="358" spans="6:7" s="1" customFormat="1">
      <c r="F358" s="4"/>
      <c r="G358" s="2"/>
    </row>
    <row r="359" spans="6:7" s="1" customFormat="1">
      <c r="F359" s="4"/>
      <c r="G359" s="2"/>
    </row>
    <row r="360" spans="6:7" s="1" customFormat="1">
      <c r="F360" s="4"/>
      <c r="G360" s="2"/>
    </row>
    <row r="361" spans="6:7" s="1" customFormat="1">
      <c r="F361" s="4"/>
      <c r="G361" s="2"/>
    </row>
    <row r="362" spans="6:7" s="1" customFormat="1">
      <c r="F362" s="4"/>
      <c r="G362" s="2"/>
    </row>
    <row r="363" spans="6:7" s="1" customFormat="1">
      <c r="F363" s="4"/>
      <c r="G363" s="2"/>
    </row>
    <row r="364" spans="6:7" s="1" customFormat="1">
      <c r="F364" s="4"/>
      <c r="G364" s="2"/>
    </row>
    <row r="365" spans="6:7" s="1" customFormat="1">
      <c r="F365" s="4"/>
      <c r="G365" s="2"/>
    </row>
    <row r="366" spans="6:7" s="1" customFormat="1">
      <c r="F366" s="4"/>
      <c r="G366" s="2"/>
    </row>
    <row r="367" spans="6:7" s="1" customFormat="1">
      <c r="F367" s="4"/>
      <c r="G367" s="2"/>
    </row>
    <row r="368" spans="6:7" s="1" customFormat="1">
      <c r="F368" s="4"/>
      <c r="G368" s="2"/>
    </row>
    <row r="369" spans="6:7" s="1" customFormat="1">
      <c r="F369" s="4"/>
      <c r="G369" s="2"/>
    </row>
    <row r="370" spans="6:7" s="1" customFormat="1">
      <c r="F370" s="4"/>
      <c r="G370" s="2"/>
    </row>
    <row r="371" spans="6:7" s="1" customFormat="1">
      <c r="F371" s="4"/>
      <c r="G371" s="2"/>
    </row>
    <row r="372" spans="6:7" s="1" customFormat="1">
      <c r="F372" s="4"/>
      <c r="G372" s="2"/>
    </row>
    <row r="373" spans="6:7" s="1" customFormat="1">
      <c r="F373" s="4"/>
      <c r="G373" s="2"/>
    </row>
    <row r="374" spans="6:7" s="1" customFormat="1">
      <c r="F374" s="4"/>
      <c r="G374" s="2"/>
    </row>
    <row r="375" spans="6:7" s="1" customFormat="1">
      <c r="F375" s="4"/>
      <c r="G375" s="2"/>
    </row>
    <row r="376" spans="6:7" s="1" customFormat="1">
      <c r="F376" s="4"/>
      <c r="G376" s="2"/>
    </row>
    <row r="377" spans="6:7" s="1" customFormat="1">
      <c r="F377" s="4"/>
      <c r="G377" s="2"/>
    </row>
    <row r="378" spans="6:7" s="1" customFormat="1">
      <c r="F378" s="4"/>
      <c r="G378" s="2"/>
    </row>
    <row r="379" spans="6:7" s="1" customFormat="1">
      <c r="F379" s="4"/>
      <c r="G379" s="2"/>
    </row>
    <row r="380" spans="6:7" s="1" customFormat="1">
      <c r="F380" s="4"/>
      <c r="G380" s="2"/>
    </row>
    <row r="381" spans="6:7" s="1" customFormat="1">
      <c r="F381" s="4"/>
      <c r="G381" s="2"/>
    </row>
    <row r="382" spans="6:7" s="1" customFormat="1">
      <c r="F382" s="4"/>
      <c r="G382" s="2"/>
    </row>
    <row r="383" spans="6:7" s="1" customFormat="1">
      <c r="F383" s="4"/>
      <c r="G383" s="2"/>
    </row>
    <row r="384" spans="6:7" s="1" customFormat="1">
      <c r="F384" s="4"/>
      <c r="G384" s="2"/>
    </row>
    <row r="385" spans="6:7" s="1" customFormat="1">
      <c r="F385" s="4"/>
      <c r="G385" s="2"/>
    </row>
    <row r="386" spans="6:7" s="1" customFormat="1">
      <c r="F386" s="4"/>
      <c r="G386" s="2"/>
    </row>
    <row r="387" spans="6:7" s="1" customFormat="1">
      <c r="F387" s="4"/>
      <c r="G387" s="2"/>
    </row>
    <row r="388" spans="6:7" s="1" customFormat="1">
      <c r="F388" s="4"/>
      <c r="G388" s="2"/>
    </row>
    <row r="389" spans="6:7" s="1" customFormat="1">
      <c r="F389" s="4"/>
      <c r="G389" s="2"/>
    </row>
    <row r="390" spans="6:7" s="1" customFormat="1">
      <c r="F390" s="4"/>
      <c r="G390" s="2"/>
    </row>
    <row r="391" spans="6:7" s="1" customFormat="1">
      <c r="F391" s="4"/>
      <c r="G391" s="2"/>
    </row>
    <row r="392" spans="6:7" s="1" customFormat="1">
      <c r="F392" s="4"/>
      <c r="G392" s="2"/>
    </row>
    <row r="393" spans="6:7" s="1" customFormat="1">
      <c r="F393" s="4"/>
      <c r="G393" s="2"/>
    </row>
    <row r="394" spans="6:7" s="1" customFormat="1">
      <c r="F394" s="4"/>
      <c r="G394" s="2"/>
    </row>
    <row r="395" spans="6:7" s="1" customFormat="1">
      <c r="F395" s="4"/>
      <c r="G395" s="2"/>
    </row>
    <row r="396" spans="6:7" s="1" customFormat="1">
      <c r="F396" s="4"/>
      <c r="G396" s="2"/>
    </row>
    <row r="397" spans="6:7" s="1" customFormat="1">
      <c r="F397" s="4"/>
      <c r="G397" s="2"/>
    </row>
    <row r="398" spans="6:7" s="1" customFormat="1">
      <c r="F398" s="4"/>
      <c r="G398" s="2"/>
    </row>
    <row r="399" spans="6:7" s="1" customFormat="1">
      <c r="F399" s="4"/>
      <c r="G399" s="2"/>
    </row>
    <row r="400" spans="6:7" s="1" customFormat="1">
      <c r="F400" s="4"/>
      <c r="G400" s="2"/>
    </row>
    <row r="401" spans="6:7" s="1" customFormat="1">
      <c r="F401" s="4"/>
      <c r="G401" s="2"/>
    </row>
    <row r="402" spans="6:7" s="1" customFormat="1">
      <c r="F402" s="4"/>
      <c r="G402" s="2"/>
    </row>
    <row r="403" spans="6:7" s="1" customFormat="1">
      <c r="F403" s="4"/>
      <c r="G403" s="2"/>
    </row>
    <row r="404" spans="6:7" s="1" customFormat="1">
      <c r="F404" s="4"/>
      <c r="G404" s="2"/>
    </row>
    <row r="405" spans="6:7" s="1" customFormat="1">
      <c r="F405" s="4"/>
      <c r="G405" s="2"/>
    </row>
    <row r="406" spans="6:7" s="1" customFormat="1">
      <c r="F406" s="4"/>
      <c r="G406" s="2"/>
    </row>
    <row r="407" spans="6:7" s="1" customFormat="1">
      <c r="F407" s="4"/>
      <c r="G407" s="2"/>
    </row>
    <row r="408" spans="6:7" s="1" customFormat="1">
      <c r="F408" s="4"/>
      <c r="G408" s="2"/>
    </row>
    <row r="409" spans="6:7" s="1" customFormat="1">
      <c r="F409" s="4"/>
      <c r="G409" s="2"/>
    </row>
    <row r="410" spans="6:7" s="1" customFormat="1">
      <c r="F410" s="4"/>
      <c r="G410" s="2"/>
    </row>
    <row r="411" spans="6:7" s="1" customFormat="1">
      <c r="F411" s="4"/>
      <c r="G411" s="2"/>
    </row>
    <row r="412" spans="6:7" s="1" customFormat="1">
      <c r="F412" s="4"/>
      <c r="G412" s="2"/>
    </row>
    <row r="413" spans="6:7" s="1" customFormat="1">
      <c r="F413" s="4"/>
      <c r="G413" s="2"/>
    </row>
    <row r="414" spans="6:7" s="1" customFormat="1">
      <c r="F414" s="4"/>
      <c r="G414" s="2"/>
    </row>
    <row r="415" spans="6:7" s="1" customFormat="1">
      <c r="F415" s="4"/>
      <c r="G415" s="2"/>
    </row>
    <row r="416" spans="6:7" s="1" customFormat="1">
      <c r="F416" s="4"/>
      <c r="G416" s="2"/>
    </row>
    <row r="417" spans="6:7" s="1" customFormat="1">
      <c r="F417" s="4"/>
      <c r="G417" s="2"/>
    </row>
    <row r="418" spans="6:7" s="1" customFormat="1">
      <c r="F418" s="4"/>
      <c r="G418" s="2"/>
    </row>
    <row r="419" spans="6:7" s="1" customFormat="1">
      <c r="F419" s="4"/>
      <c r="G419" s="2"/>
    </row>
    <row r="420" spans="6:7" s="1" customFormat="1">
      <c r="F420" s="4"/>
      <c r="G420" s="2"/>
    </row>
    <row r="421" spans="6:7" s="1" customFormat="1">
      <c r="F421" s="4"/>
      <c r="G421" s="2"/>
    </row>
    <row r="422" spans="6:7" s="1" customFormat="1">
      <c r="F422" s="4"/>
      <c r="G422" s="2"/>
    </row>
    <row r="423" spans="6:7" s="1" customFormat="1">
      <c r="F423" s="4"/>
      <c r="G423" s="2"/>
    </row>
    <row r="424" spans="6:7" s="1" customFormat="1">
      <c r="F424" s="4"/>
      <c r="G424" s="2"/>
    </row>
    <row r="425" spans="6:7" s="1" customFormat="1">
      <c r="F425" s="4"/>
      <c r="G425" s="2"/>
    </row>
    <row r="426" spans="6:7" s="1" customFormat="1">
      <c r="F426" s="4"/>
      <c r="G426" s="2"/>
    </row>
    <row r="427" spans="6:7" s="1" customFormat="1">
      <c r="F427" s="4"/>
      <c r="G427" s="2"/>
    </row>
    <row r="428" spans="6:7" s="1" customFormat="1">
      <c r="F428" s="4"/>
      <c r="G428" s="2"/>
    </row>
    <row r="429" spans="6:7" s="1" customFormat="1">
      <c r="F429" s="4"/>
      <c r="G429" s="2"/>
    </row>
    <row r="430" spans="6:7" s="1" customFormat="1">
      <c r="F430" s="4"/>
      <c r="G430" s="2"/>
    </row>
    <row r="431" spans="6:7" s="1" customFormat="1">
      <c r="F431" s="4"/>
      <c r="G431" s="2"/>
    </row>
    <row r="432" spans="6:7" s="1" customFormat="1">
      <c r="F432" s="4"/>
      <c r="G432" s="2"/>
    </row>
    <row r="433" spans="6:7" s="1" customFormat="1">
      <c r="F433" s="4"/>
      <c r="G433" s="2"/>
    </row>
    <row r="434" spans="6:7" s="1" customFormat="1">
      <c r="F434" s="4"/>
      <c r="G434" s="2"/>
    </row>
    <row r="435" spans="6:7" s="1" customFormat="1">
      <c r="F435" s="4"/>
      <c r="G435" s="2"/>
    </row>
    <row r="436" spans="6:7" s="1" customFormat="1">
      <c r="F436" s="4"/>
      <c r="G436" s="2"/>
    </row>
    <row r="437" spans="6:7" s="1" customFormat="1">
      <c r="F437" s="4"/>
      <c r="G437" s="2"/>
    </row>
    <row r="438" spans="6:7" s="1" customFormat="1">
      <c r="F438" s="4"/>
      <c r="G438" s="2"/>
    </row>
    <row r="439" spans="6:7" s="1" customFormat="1">
      <c r="F439" s="4"/>
      <c r="G439" s="2"/>
    </row>
    <row r="440" spans="6:7" s="1" customFormat="1">
      <c r="F440" s="4"/>
      <c r="G440" s="2"/>
    </row>
    <row r="441" spans="6:7" s="1" customFormat="1">
      <c r="F441" s="4"/>
      <c r="G441" s="2"/>
    </row>
    <row r="442" spans="6:7" s="1" customFormat="1">
      <c r="F442" s="4"/>
      <c r="G442" s="2"/>
    </row>
    <row r="443" spans="6:7" s="1" customFormat="1">
      <c r="F443" s="4"/>
      <c r="G443" s="2"/>
    </row>
    <row r="444" spans="6:7" s="1" customFormat="1">
      <c r="F444" s="4"/>
      <c r="G444" s="2"/>
    </row>
    <row r="445" spans="6:7" s="1" customFormat="1">
      <c r="F445" s="4"/>
      <c r="G445" s="2"/>
    </row>
    <row r="446" spans="6:7" s="1" customFormat="1">
      <c r="F446" s="4"/>
      <c r="G446" s="2"/>
    </row>
    <row r="447" spans="6:7" s="1" customFormat="1">
      <c r="F447" s="4"/>
      <c r="G447" s="2"/>
    </row>
    <row r="448" spans="6:7" s="1" customFormat="1">
      <c r="F448" s="4"/>
      <c r="G448" s="2"/>
    </row>
    <row r="449" spans="6:7" s="1" customFormat="1">
      <c r="F449" s="4"/>
      <c r="G449" s="2"/>
    </row>
    <row r="450" spans="6:7" s="1" customFormat="1">
      <c r="F450" s="4"/>
      <c r="G450" s="2"/>
    </row>
    <row r="451" spans="6:7" s="1" customFormat="1">
      <c r="F451" s="4"/>
      <c r="G451" s="2"/>
    </row>
    <row r="452" spans="6:7" s="1" customFormat="1">
      <c r="F452" s="4"/>
      <c r="G452" s="2"/>
    </row>
    <row r="453" spans="6:7" s="1" customFormat="1">
      <c r="F453" s="4"/>
      <c r="G453" s="2"/>
    </row>
    <row r="454" spans="6:7" s="1" customFormat="1">
      <c r="F454" s="4"/>
      <c r="G454" s="2"/>
    </row>
    <row r="455" spans="6:7" s="1" customFormat="1">
      <c r="F455" s="4"/>
      <c r="G455" s="2"/>
    </row>
    <row r="456" spans="6:7" s="1" customFormat="1">
      <c r="F456" s="4"/>
      <c r="G456" s="2"/>
    </row>
    <row r="457" spans="6:7" s="1" customFormat="1">
      <c r="F457" s="4"/>
      <c r="G457" s="2"/>
    </row>
    <row r="458" spans="6:7" s="1" customFormat="1">
      <c r="F458" s="4"/>
      <c r="G458" s="2"/>
    </row>
    <row r="459" spans="6:7" s="1" customFormat="1">
      <c r="F459" s="4"/>
      <c r="G459" s="2"/>
    </row>
    <row r="460" spans="6:7" s="1" customFormat="1">
      <c r="F460" s="4"/>
      <c r="G460" s="2"/>
    </row>
    <row r="461" spans="6:7" s="1" customFormat="1">
      <c r="F461" s="4"/>
      <c r="G461" s="2"/>
    </row>
    <row r="462" spans="6:7" s="1" customFormat="1">
      <c r="F462" s="4"/>
      <c r="G462" s="2"/>
    </row>
    <row r="463" spans="6:7" s="1" customFormat="1">
      <c r="F463" s="4"/>
      <c r="G463" s="2"/>
    </row>
    <row r="464" spans="6:7" s="1" customFormat="1">
      <c r="F464" s="4"/>
      <c r="G464" s="2"/>
    </row>
    <row r="465" spans="6:7" s="1" customFormat="1">
      <c r="F465" s="4"/>
      <c r="G465" s="2"/>
    </row>
    <row r="466" spans="6:7" s="1" customFormat="1">
      <c r="F466" s="4"/>
      <c r="G466" s="2"/>
    </row>
    <row r="467" spans="6:7" s="1" customFormat="1">
      <c r="F467" s="4"/>
      <c r="G467" s="2"/>
    </row>
    <row r="468" spans="6:7" s="1" customFormat="1">
      <c r="F468" s="4"/>
      <c r="G468" s="2"/>
    </row>
    <row r="469" spans="6:7" s="1" customFormat="1">
      <c r="F469" s="4"/>
      <c r="G469" s="2"/>
    </row>
    <row r="470" spans="6:7" s="1" customFormat="1">
      <c r="F470" s="4"/>
      <c r="G470" s="2"/>
    </row>
    <row r="471" spans="6:7" s="1" customFormat="1">
      <c r="F471" s="4"/>
      <c r="G471" s="2"/>
    </row>
    <row r="472" spans="6:7" s="1" customFormat="1">
      <c r="F472" s="4"/>
      <c r="G472" s="2"/>
    </row>
    <row r="473" spans="6:7" s="1" customFormat="1">
      <c r="F473" s="4"/>
      <c r="G473" s="2"/>
    </row>
    <row r="474" spans="6:7" s="1" customFormat="1">
      <c r="F474" s="4"/>
      <c r="G474" s="2"/>
    </row>
    <row r="475" spans="6:7" s="1" customFormat="1">
      <c r="F475" s="4"/>
      <c r="G475" s="2"/>
    </row>
    <row r="476" spans="6:7" s="1" customFormat="1">
      <c r="F476" s="4"/>
      <c r="G476" s="2"/>
    </row>
    <row r="477" spans="6:7" s="1" customFormat="1">
      <c r="F477" s="4"/>
      <c r="G477" s="2"/>
    </row>
    <row r="478" spans="6:7" s="1" customFormat="1">
      <c r="F478" s="4"/>
      <c r="G478" s="2"/>
    </row>
    <row r="479" spans="6:7" s="1" customFormat="1">
      <c r="F479" s="4"/>
      <c r="G479" s="2"/>
    </row>
    <row r="480" spans="6:7" s="1" customFormat="1">
      <c r="F480" s="4"/>
      <c r="G480" s="2"/>
    </row>
    <row r="481" spans="6:7" s="1" customFormat="1">
      <c r="F481" s="4"/>
      <c r="G481" s="2"/>
    </row>
    <row r="482" spans="6:7" s="1" customFormat="1">
      <c r="F482" s="4"/>
      <c r="G482" s="2"/>
    </row>
    <row r="483" spans="6:7" s="1" customFormat="1">
      <c r="F483" s="4"/>
      <c r="G483" s="2"/>
    </row>
    <row r="484" spans="6:7" s="1" customFormat="1">
      <c r="F484" s="4"/>
      <c r="G484" s="2"/>
    </row>
    <row r="485" spans="6:7" s="1" customFormat="1">
      <c r="F485" s="4"/>
      <c r="G485" s="2"/>
    </row>
    <row r="486" spans="6:7" s="1" customFormat="1">
      <c r="F486" s="4"/>
      <c r="G486" s="2"/>
    </row>
    <row r="487" spans="6:7" s="1" customFormat="1">
      <c r="F487" s="4"/>
      <c r="G487" s="2"/>
    </row>
    <row r="488" spans="6:7" s="1" customFormat="1">
      <c r="F488" s="4"/>
      <c r="G488" s="2"/>
    </row>
    <row r="489" spans="6:7" s="1" customFormat="1">
      <c r="F489" s="4"/>
      <c r="G489" s="2"/>
    </row>
    <row r="490" spans="6:7" s="1" customFormat="1">
      <c r="F490" s="4"/>
      <c r="G490" s="2"/>
    </row>
    <row r="491" spans="6:7" s="1" customFormat="1">
      <c r="F491" s="4"/>
      <c r="G491" s="2"/>
    </row>
    <row r="492" spans="6:7" s="1" customFormat="1">
      <c r="F492" s="4"/>
      <c r="G492" s="2"/>
    </row>
    <row r="493" spans="6:7" s="1" customFormat="1">
      <c r="F493" s="4"/>
      <c r="G493" s="2"/>
    </row>
    <row r="494" spans="6:7" s="1" customFormat="1">
      <c r="F494" s="4"/>
      <c r="G494" s="2"/>
    </row>
    <row r="495" spans="6:7" s="1" customFormat="1">
      <c r="F495" s="4"/>
      <c r="G495" s="2"/>
    </row>
    <row r="496" spans="6:7" s="1" customFormat="1">
      <c r="F496" s="4"/>
      <c r="G496" s="2"/>
    </row>
    <row r="497" spans="6:7" s="1" customFormat="1">
      <c r="F497" s="4"/>
      <c r="G497" s="2"/>
    </row>
    <row r="498" spans="6:7" s="1" customFormat="1">
      <c r="F498" s="4"/>
      <c r="G498" s="2"/>
    </row>
    <row r="499" spans="6:7" s="1" customFormat="1">
      <c r="F499" s="4"/>
      <c r="G499" s="2"/>
    </row>
    <row r="500" spans="6:7" s="1" customFormat="1">
      <c r="F500" s="4"/>
      <c r="G500" s="2"/>
    </row>
    <row r="501" spans="6:7" s="1" customFormat="1">
      <c r="F501" s="4"/>
      <c r="G501" s="2"/>
    </row>
    <row r="502" spans="6:7" s="1" customFormat="1">
      <c r="F502" s="4"/>
      <c r="G502" s="2"/>
    </row>
    <row r="503" spans="6:7" s="1" customFormat="1">
      <c r="F503" s="4"/>
      <c r="G503" s="2"/>
    </row>
    <row r="504" spans="6:7" s="1" customFormat="1">
      <c r="F504" s="4"/>
      <c r="G504" s="2"/>
    </row>
    <row r="505" spans="6:7" s="1" customFormat="1">
      <c r="F505" s="4"/>
      <c r="G505" s="2"/>
    </row>
    <row r="506" spans="6:7" s="1" customFormat="1">
      <c r="F506" s="4"/>
      <c r="G506" s="2"/>
    </row>
    <row r="507" spans="6:7" s="1" customFormat="1">
      <c r="F507" s="4"/>
      <c r="G507" s="2"/>
    </row>
    <row r="508" spans="6:7" s="1" customFormat="1">
      <c r="F508" s="4"/>
      <c r="G508" s="2"/>
    </row>
    <row r="509" spans="6:7" s="1" customFormat="1">
      <c r="F509" s="4"/>
      <c r="G509" s="2"/>
    </row>
    <row r="510" spans="6:7" s="1" customFormat="1">
      <c r="F510" s="4"/>
      <c r="G510" s="2"/>
    </row>
    <row r="511" spans="6:7" s="1" customFormat="1">
      <c r="F511" s="4"/>
      <c r="G511" s="2"/>
    </row>
    <row r="512" spans="6:7" s="1" customFormat="1">
      <c r="F512" s="4"/>
      <c r="G512" s="2"/>
    </row>
    <row r="513" spans="6:7" s="1" customFormat="1">
      <c r="F513" s="4"/>
      <c r="G513" s="2"/>
    </row>
    <row r="514" spans="6:7" s="1" customFormat="1">
      <c r="F514" s="4"/>
      <c r="G514" s="2"/>
    </row>
    <row r="515" spans="6:7" s="1" customFormat="1">
      <c r="F515" s="4"/>
      <c r="G515" s="2"/>
    </row>
    <row r="516" spans="6:7" s="1" customFormat="1">
      <c r="F516" s="4"/>
      <c r="G516" s="2"/>
    </row>
    <row r="517" spans="6:7" s="1" customFormat="1">
      <c r="F517" s="4"/>
      <c r="G517" s="2"/>
    </row>
    <row r="518" spans="6:7" s="1" customFormat="1">
      <c r="F518" s="4"/>
      <c r="G518" s="2"/>
    </row>
    <row r="519" spans="6:7" s="1" customFormat="1">
      <c r="F519" s="4"/>
      <c r="G519" s="2"/>
    </row>
    <row r="520" spans="6:7" s="1" customFormat="1">
      <c r="F520" s="4"/>
      <c r="G520" s="2"/>
    </row>
    <row r="521" spans="6:7" s="1" customFormat="1">
      <c r="F521" s="4"/>
      <c r="G521" s="2"/>
    </row>
    <row r="522" spans="6:7" s="1" customFormat="1">
      <c r="F522" s="4"/>
      <c r="G522" s="2"/>
    </row>
    <row r="523" spans="6:7" s="1" customFormat="1">
      <c r="F523" s="4"/>
      <c r="G523" s="2"/>
    </row>
    <row r="524" spans="6:7" s="1" customFormat="1">
      <c r="F524" s="4"/>
      <c r="G524" s="2"/>
    </row>
    <row r="525" spans="6:7" s="1" customFormat="1">
      <c r="F525" s="4"/>
      <c r="G525" s="2"/>
    </row>
    <row r="526" spans="6:7" s="1" customFormat="1">
      <c r="F526" s="4"/>
      <c r="G526" s="2"/>
    </row>
    <row r="527" spans="6:7" s="1" customFormat="1">
      <c r="F527" s="4"/>
      <c r="G527" s="2"/>
    </row>
    <row r="528" spans="6:7" s="1" customFormat="1">
      <c r="F528" s="4"/>
      <c r="G528" s="2"/>
    </row>
    <row r="529" spans="6:7" s="1" customFormat="1">
      <c r="F529" s="4"/>
      <c r="G529" s="2"/>
    </row>
    <row r="530" spans="6:7" s="1" customFormat="1">
      <c r="F530" s="4"/>
      <c r="G530" s="2"/>
    </row>
    <row r="531" spans="6:7" s="1" customFormat="1">
      <c r="F531" s="4"/>
      <c r="G531" s="2"/>
    </row>
    <row r="532" spans="6:7" s="1" customFormat="1">
      <c r="F532" s="4"/>
      <c r="G532" s="2"/>
    </row>
    <row r="533" spans="6:7" s="1" customFormat="1">
      <c r="F533" s="4"/>
      <c r="G533" s="2"/>
    </row>
    <row r="534" spans="6:7" s="1" customFormat="1">
      <c r="F534" s="4"/>
      <c r="G534" s="2"/>
    </row>
    <row r="535" spans="6:7" s="1" customFormat="1">
      <c r="F535" s="4"/>
      <c r="G535" s="2"/>
    </row>
    <row r="536" spans="6:7" s="1" customFormat="1">
      <c r="F536" s="4"/>
      <c r="G536" s="2"/>
    </row>
    <row r="537" spans="6:7" s="1" customFormat="1">
      <c r="F537" s="4"/>
      <c r="G537" s="2"/>
    </row>
    <row r="538" spans="6:7" s="1" customFormat="1">
      <c r="F538" s="4"/>
      <c r="G538" s="2"/>
    </row>
    <row r="539" spans="6:7" s="1" customFormat="1">
      <c r="F539" s="4"/>
      <c r="G539" s="2"/>
    </row>
    <row r="540" spans="6:7" s="1" customFormat="1">
      <c r="F540" s="4"/>
      <c r="G540" s="2"/>
    </row>
    <row r="541" spans="6:7" s="1" customFormat="1">
      <c r="F541" s="4"/>
      <c r="G541" s="2"/>
    </row>
    <row r="542" spans="6:7" s="1" customFormat="1">
      <c r="F542" s="4"/>
      <c r="G542" s="2"/>
    </row>
    <row r="543" spans="6:7" s="1" customFormat="1">
      <c r="F543" s="4"/>
      <c r="G543" s="2"/>
    </row>
    <row r="544" spans="6:7" s="1" customFormat="1">
      <c r="F544" s="4"/>
      <c r="G544" s="2"/>
    </row>
    <row r="545" spans="6:7" s="1" customFormat="1">
      <c r="F545" s="4"/>
      <c r="G545" s="2"/>
    </row>
    <row r="546" spans="6:7" s="1" customFormat="1">
      <c r="F546" s="4"/>
      <c r="G546" s="2"/>
    </row>
    <row r="547" spans="6:7" s="1" customFormat="1">
      <c r="F547" s="4"/>
      <c r="G547" s="2"/>
    </row>
    <row r="548" spans="6:7" s="1" customFormat="1">
      <c r="F548" s="4"/>
      <c r="G548" s="2"/>
    </row>
    <row r="549" spans="6:7" s="1" customFormat="1">
      <c r="F549" s="4"/>
      <c r="G549" s="2"/>
    </row>
    <row r="550" spans="6:7" s="1" customFormat="1">
      <c r="F550" s="4"/>
      <c r="G550" s="2"/>
    </row>
    <row r="551" spans="6:7" s="1" customFormat="1">
      <c r="F551" s="4"/>
      <c r="G551" s="2"/>
    </row>
    <row r="552" spans="6:7" s="1" customFormat="1">
      <c r="F552" s="4"/>
      <c r="G552" s="2"/>
    </row>
    <row r="553" spans="6:7" s="1" customFormat="1">
      <c r="F553" s="4"/>
      <c r="G553" s="2"/>
    </row>
    <row r="554" spans="6:7" s="1" customFormat="1">
      <c r="F554" s="4"/>
      <c r="G554" s="2"/>
    </row>
    <row r="555" spans="6:7" s="1" customFormat="1">
      <c r="F555" s="4"/>
      <c r="G555" s="2"/>
    </row>
    <row r="556" spans="6:7" s="1" customFormat="1">
      <c r="F556" s="4"/>
      <c r="G556" s="2"/>
    </row>
    <row r="557" spans="6:7" s="1" customFormat="1">
      <c r="F557" s="4"/>
      <c r="G557" s="2"/>
    </row>
    <row r="558" spans="6:7" s="1" customFormat="1">
      <c r="F558" s="4"/>
      <c r="G558" s="2"/>
    </row>
    <row r="559" spans="6:7" s="1" customFormat="1">
      <c r="F559" s="4"/>
      <c r="G559" s="2"/>
    </row>
    <row r="560" spans="6:7" s="1" customFormat="1">
      <c r="F560" s="4"/>
      <c r="G560" s="2"/>
    </row>
    <row r="561" spans="6:7" s="1" customFormat="1">
      <c r="F561" s="4"/>
      <c r="G561" s="2"/>
    </row>
    <row r="562" spans="6:7" s="1" customFormat="1">
      <c r="F562" s="4"/>
      <c r="G562" s="2"/>
    </row>
    <row r="563" spans="6:7" s="1" customFormat="1">
      <c r="F563" s="4"/>
      <c r="G563" s="2"/>
    </row>
    <row r="564" spans="6:7" s="1" customFormat="1">
      <c r="F564" s="4"/>
      <c r="G564" s="2"/>
    </row>
    <row r="565" spans="6:7" s="1" customFormat="1">
      <c r="F565" s="4"/>
      <c r="G565" s="2"/>
    </row>
    <row r="566" spans="6:7" s="1" customFormat="1">
      <c r="F566" s="4"/>
      <c r="G566" s="2"/>
    </row>
    <row r="567" spans="6:7" s="1" customFormat="1">
      <c r="F567" s="4"/>
      <c r="G567" s="2"/>
    </row>
    <row r="568" spans="6:7" s="1" customFormat="1">
      <c r="F568" s="4"/>
      <c r="G568" s="2"/>
    </row>
    <row r="569" spans="6:7" s="1" customFormat="1">
      <c r="F569" s="4"/>
      <c r="G569" s="2"/>
    </row>
    <row r="570" spans="6:7" s="1" customFormat="1">
      <c r="F570" s="4"/>
      <c r="G570" s="2"/>
    </row>
    <row r="571" spans="6:7" s="1" customFormat="1">
      <c r="F571" s="4"/>
      <c r="G571" s="2"/>
    </row>
    <row r="572" spans="6:7" s="1" customFormat="1">
      <c r="F572" s="4"/>
      <c r="G572" s="2"/>
    </row>
    <row r="573" spans="6:7" s="1" customFormat="1">
      <c r="F573" s="4"/>
      <c r="G573" s="2"/>
    </row>
    <row r="574" spans="6:7" s="1" customFormat="1">
      <c r="F574" s="4"/>
      <c r="G574" s="2"/>
    </row>
    <row r="575" spans="6:7" s="1" customFormat="1">
      <c r="F575" s="4"/>
      <c r="G575" s="2"/>
    </row>
    <row r="576" spans="6:7" s="1" customFormat="1">
      <c r="F576" s="4"/>
      <c r="G576" s="2"/>
    </row>
    <row r="577" spans="6:7" s="1" customFormat="1">
      <c r="F577" s="4"/>
      <c r="G577" s="2"/>
    </row>
    <row r="578" spans="6:7" s="1" customFormat="1">
      <c r="F578" s="4"/>
      <c r="G578" s="2"/>
    </row>
    <row r="579" spans="6:7" s="1" customFormat="1">
      <c r="F579" s="4"/>
      <c r="G579" s="2"/>
    </row>
    <row r="580" spans="6:7" s="1" customFormat="1">
      <c r="F580" s="4"/>
      <c r="G580" s="2"/>
    </row>
    <row r="581" spans="6:7" s="1" customFormat="1">
      <c r="F581" s="4"/>
      <c r="G581" s="2"/>
    </row>
    <row r="582" spans="6:7" s="1" customFormat="1">
      <c r="F582" s="4"/>
      <c r="G582" s="2"/>
    </row>
    <row r="583" spans="6:7" s="1" customFormat="1">
      <c r="F583" s="4"/>
      <c r="G583" s="2"/>
    </row>
    <row r="584" spans="6:7" s="1" customFormat="1">
      <c r="F584" s="4"/>
      <c r="G584" s="2"/>
    </row>
    <row r="585" spans="6:7" s="1" customFormat="1">
      <c r="F585" s="4"/>
      <c r="G585" s="2"/>
    </row>
    <row r="586" spans="6:7" s="1" customFormat="1">
      <c r="F586" s="4"/>
      <c r="G586" s="2"/>
    </row>
    <row r="587" spans="6:7" s="1" customFormat="1">
      <c r="F587" s="4"/>
      <c r="G587" s="2"/>
    </row>
    <row r="588" spans="6:7" s="1" customFormat="1">
      <c r="F588" s="4"/>
      <c r="G588" s="2"/>
    </row>
    <row r="589" spans="6:7" s="1" customFormat="1">
      <c r="F589" s="4"/>
      <c r="G589" s="2"/>
    </row>
    <row r="590" spans="6:7" s="1" customFormat="1">
      <c r="F590" s="4"/>
      <c r="G590" s="2"/>
    </row>
    <row r="591" spans="6:7" s="1" customFormat="1">
      <c r="F591" s="4"/>
      <c r="G591" s="2"/>
    </row>
    <row r="592" spans="6:7" s="1" customFormat="1">
      <c r="F592" s="4"/>
      <c r="G592" s="2"/>
    </row>
    <row r="593" spans="6:7" s="1" customFormat="1">
      <c r="F593" s="4"/>
      <c r="G593" s="2"/>
    </row>
    <row r="594" spans="6:7" s="1" customFormat="1">
      <c r="F594" s="4"/>
      <c r="G594" s="2"/>
    </row>
    <row r="595" spans="6:7" s="1" customFormat="1">
      <c r="F595" s="4"/>
      <c r="G595" s="2"/>
    </row>
    <row r="596" spans="6:7" s="1" customFormat="1">
      <c r="F596" s="4"/>
      <c r="G596" s="2"/>
    </row>
    <row r="597" spans="6:7" s="1" customFormat="1">
      <c r="F597" s="4"/>
      <c r="G597" s="2"/>
    </row>
    <row r="598" spans="6:7" s="1" customFormat="1">
      <c r="F598" s="4"/>
      <c r="G598" s="2"/>
    </row>
    <row r="599" spans="6:7" s="1" customFormat="1">
      <c r="F599" s="4"/>
      <c r="G599" s="2"/>
    </row>
    <row r="600" spans="6:7" s="1" customFormat="1">
      <c r="F600" s="4"/>
      <c r="G600" s="2"/>
    </row>
    <row r="601" spans="6:7" s="1" customFormat="1">
      <c r="F601" s="4"/>
      <c r="G601" s="2"/>
    </row>
    <row r="602" spans="6:7" s="1" customFormat="1">
      <c r="F602" s="4"/>
      <c r="G602" s="2"/>
    </row>
    <row r="603" spans="6:7" s="1" customFormat="1">
      <c r="F603" s="4"/>
      <c r="G603" s="2"/>
    </row>
    <row r="604" spans="6:7" s="1" customFormat="1">
      <c r="F604" s="4"/>
      <c r="G604" s="2"/>
    </row>
    <row r="605" spans="6:7" s="1" customFormat="1">
      <c r="F605" s="4"/>
      <c r="G605" s="2"/>
    </row>
    <row r="606" spans="6:7" s="1" customFormat="1">
      <c r="F606" s="4"/>
      <c r="G606" s="2"/>
    </row>
    <row r="607" spans="6:7" s="1" customFormat="1">
      <c r="F607" s="4"/>
      <c r="G607" s="2"/>
    </row>
    <row r="608" spans="6:7" s="1" customFormat="1">
      <c r="F608" s="4"/>
      <c r="G608" s="2"/>
    </row>
    <row r="609" spans="6:7" s="1" customFormat="1">
      <c r="F609" s="4"/>
      <c r="G609" s="2"/>
    </row>
    <row r="610" spans="6:7" s="1" customFormat="1">
      <c r="F610" s="4"/>
      <c r="G610" s="2"/>
    </row>
    <row r="611" spans="6:7" s="1" customFormat="1">
      <c r="F611" s="4"/>
      <c r="G611" s="2"/>
    </row>
    <row r="612" spans="6:7" s="1" customFormat="1">
      <c r="F612" s="4"/>
      <c r="G612" s="2"/>
    </row>
    <row r="613" spans="6:7" s="1" customFormat="1">
      <c r="F613" s="4"/>
      <c r="G613" s="2"/>
    </row>
    <row r="614" spans="6:7" s="1" customFormat="1">
      <c r="F614" s="4"/>
      <c r="G614" s="2"/>
    </row>
    <row r="615" spans="6:7" s="1" customFormat="1">
      <c r="F615" s="4"/>
      <c r="G615" s="2"/>
    </row>
    <row r="616" spans="6:7" s="1" customFormat="1">
      <c r="F616" s="4"/>
      <c r="G616" s="2"/>
    </row>
    <row r="617" spans="6:7" s="1" customFormat="1">
      <c r="F617" s="4"/>
      <c r="G617" s="2"/>
    </row>
    <row r="618" spans="6:7" s="1" customFormat="1">
      <c r="F618" s="4"/>
      <c r="G618" s="2"/>
    </row>
    <row r="619" spans="6:7" s="1" customFormat="1">
      <c r="F619" s="4"/>
      <c r="G619" s="2"/>
    </row>
    <row r="620" spans="6:7" s="1" customFormat="1">
      <c r="F620" s="4"/>
      <c r="G620" s="2"/>
    </row>
    <row r="621" spans="6:7" s="1" customFormat="1">
      <c r="F621" s="4"/>
      <c r="G621" s="2"/>
    </row>
    <row r="622" spans="6:7" s="1" customFormat="1">
      <c r="F622" s="4"/>
      <c r="G622" s="2"/>
    </row>
    <row r="623" spans="6:7" s="1" customFormat="1">
      <c r="F623" s="4"/>
      <c r="G623" s="2"/>
    </row>
    <row r="624" spans="6:7" s="1" customFormat="1">
      <c r="F624" s="4"/>
      <c r="G624" s="2"/>
    </row>
    <row r="625" spans="6:7" s="1" customFormat="1">
      <c r="F625" s="4"/>
      <c r="G625" s="2"/>
    </row>
    <row r="626" spans="6:7" s="1" customFormat="1">
      <c r="F626" s="4"/>
      <c r="G626" s="2"/>
    </row>
    <row r="627" spans="6:7" s="1" customFormat="1">
      <c r="F627" s="4"/>
      <c r="G627" s="2"/>
    </row>
    <row r="628" spans="6:7" s="1" customFormat="1">
      <c r="F628" s="4"/>
      <c r="G628" s="2"/>
    </row>
    <row r="629" spans="6:7" s="1" customFormat="1">
      <c r="F629" s="4"/>
      <c r="G629" s="2"/>
    </row>
    <row r="630" spans="6:7" s="1" customFormat="1">
      <c r="F630" s="4"/>
      <c r="G630" s="2"/>
    </row>
    <row r="631" spans="6:7" s="1" customFormat="1">
      <c r="F631" s="4"/>
      <c r="G631" s="2"/>
    </row>
    <row r="632" spans="6:7" s="1" customFormat="1">
      <c r="F632" s="4"/>
      <c r="G632" s="2"/>
    </row>
    <row r="633" spans="6:7" s="1" customFormat="1">
      <c r="F633" s="4"/>
      <c r="G633" s="2"/>
    </row>
    <row r="634" spans="6:7" s="1" customFormat="1">
      <c r="F634" s="4"/>
      <c r="G634" s="2"/>
    </row>
    <row r="635" spans="6:7" s="1" customFormat="1">
      <c r="F635" s="4"/>
      <c r="G635" s="2"/>
    </row>
    <row r="636" spans="6:7" s="1" customFormat="1">
      <c r="F636" s="4"/>
      <c r="G636" s="2"/>
    </row>
    <row r="637" spans="6:7" s="1" customFormat="1">
      <c r="F637" s="4"/>
      <c r="G637" s="2"/>
    </row>
    <row r="638" spans="6:7" s="1" customFormat="1">
      <c r="F638" s="4"/>
      <c r="G638" s="2"/>
    </row>
    <row r="639" spans="6:7" s="1" customFormat="1">
      <c r="F639" s="4"/>
      <c r="G639" s="2"/>
    </row>
    <row r="640" spans="6:7" s="1" customFormat="1">
      <c r="F640" s="4"/>
      <c r="G640" s="2"/>
    </row>
    <row r="641" spans="6:7" s="1" customFormat="1">
      <c r="F641" s="4"/>
      <c r="G641" s="2"/>
    </row>
    <row r="642" spans="6:7" s="1" customFormat="1">
      <c r="F642" s="4"/>
      <c r="G642" s="2"/>
    </row>
    <row r="643" spans="6:7" s="1" customFormat="1">
      <c r="F643" s="4"/>
      <c r="G643" s="2"/>
    </row>
    <row r="644" spans="6:7" s="1" customFormat="1">
      <c r="F644" s="4"/>
      <c r="G644" s="2"/>
    </row>
    <row r="645" spans="6:7" s="1" customFormat="1">
      <c r="F645" s="4"/>
      <c r="G645" s="2"/>
    </row>
    <row r="646" spans="6:7" s="1" customFormat="1">
      <c r="F646" s="4"/>
      <c r="G646" s="2"/>
    </row>
    <row r="647" spans="6:7" s="1" customFormat="1">
      <c r="F647" s="4"/>
      <c r="G647" s="2"/>
    </row>
    <row r="648" spans="6:7" s="1" customFormat="1">
      <c r="F648" s="4"/>
      <c r="G648" s="2"/>
    </row>
    <row r="649" spans="6:7" s="1" customFormat="1">
      <c r="F649" s="4"/>
      <c r="G649" s="2"/>
    </row>
    <row r="650" spans="6:7" s="1" customFormat="1">
      <c r="F650" s="4"/>
      <c r="G650" s="2"/>
    </row>
    <row r="651" spans="6:7" s="1" customFormat="1">
      <c r="F651" s="4"/>
      <c r="G651" s="2"/>
    </row>
    <row r="652" spans="6:7" s="1" customFormat="1">
      <c r="F652" s="4"/>
      <c r="G652" s="2"/>
    </row>
    <row r="653" spans="6:7" s="1" customFormat="1">
      <c r="F653" s="4"/>
      <c r="G653" s="2"/>
    </row>
    <row r="654" spans="6:7" s="1" customFormat="1">
      <c r="F654" s="4"/>
      <c r="G654" s="2"/>
    </row>
    <row r="655" spans="6:7" s="1" customFormat="1">
      <c r="F655" s="4"/>
      <c r="G655" s="2"/>
    </row>
    <row r="656" spans="6:7" s="1" customFormat="1">
      <c r="F656" s="4"/>
      <c r="G656" s="2"/>
    </row>
    <row r="657" spans="6:7" s="1" customFormat="1">
      <c r="F657" s="4"/>
      <c r="G657" s="2"/>
    </row>
    <row r="658" spans="6:7" s="1" customFormat="1">
      <c r="F658" s="4"/>
      <c r="G658" s="2"/>
    </row>
  </sheetData>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2"/>
  <sheetViews>
    <sheetView zoomScale="126" workbookViewId="0">
      <selection activeCell="H6" sqref="H6"/>
    </sheetView>
  </sheetViews>
  <sheetFormatPr defaultColWidth="8.88671875" defaultRowHeight="14.4"/>
  <cols>
    <col min="2" max="3" width="9.77734375" customWidth="1"/>
  </cols>
  <sheetData>
    <row r="1" spans="1:19" ht="22.2" customHeight="1">
      <c r="A1" s="133" t="s">
        <v>102</v>
      </c>
      <c r="B1" s="133"/>
      <c r="C1" s="133"/>
      <c r="D1" s="133"/>
      <c r="E1" s="133"/>
      <c r="F1" s="133"/>
      <c r="G1" s="109"/>
      <c r="H1" s="110"/>
      <c r="I1" s="110"/>
      <c r="J1" s="110"/>
      <c r="K1" s="110"/>
      <c r="L1" s="110"/>
      <c r="M1" s="110"/>
      <c r="N1" s="110"/>
      <c r="O1" s="110"/>
      <c r="P1" s="110"/>
      <c r="Q1" s="110"/>
      <c r="R1" s="110"/>
      <c r="S1" s="110"/>
    </row>
    <row r="2" spans="1:19" ht="14.4" customHeight="1">
      <c r="A2" s="133"/>
      <c r="B2" s="133"/>
      <c r="C2" s="133"/>
      <c r="D2" s="133"/>
      <c r="E2" s="133"/>
      <c r="F2" s="133"/>
      <c r="G2" s="109"/>
      <c r="H2" s="110"/>
      <c r="I2" s="110"/>
      <c r="J2" s="110"/>
      <c r="K2" s="110"/>
      <c r="L2" s="110"/>
      <c r="M2" s="110"/>
      <c r="N2" s="110"/>
      <c r="O2" s="110"/>
      <c r="P2" s="110"/>
      <c r="Q2" s="110"/>
      <c r="R2" s="110"/>
      <c r="S2" s="110"/>
    </row>
    <row r="3" spans="1:19">
      <c r="A3" s="133"/>
      <c r="B3" s="133"/>
      <c r="C3" s="133"/>
      <c r="D3" s="133"/>
      <c r="E3" s="133"/>
      <c r="F3" s="133"/>
      <c r="G3" s="65"/>
      <c r="H3" s="110"/>
      <c r="I3" s="110"/>
      <c r="J3" s="110"/>
      <c r="K3" s="110"/>
      <c r="L3" s="110"/>
      <c r="M3" s="110"/>
      <c r="N3" s="110"/>
      <c r="O3" s="110"/>
      <c r="P3" s="110"/>
      <c r="Q3" s="110"/>
      <c r="R3" s="110"/>
      <c r="S3" s="110"/>
    </row>
    <row r="4" spans="1:19">
      <c r="A4" s="1"/>
      <c r="G4" s="1"/>
    </row>
    <row r="5" spans="1:19">
      <c r="A5" s="1"/>
      <c r="G5" s="1"/>
    </row>
    <row r="6" spans="1:19" ht="15" thickBot="1">
      <c r="A6" s="1"/>
      <c r="B6" s="1"/>
      <c r="C6" s="6"/>
      <c r="D6" s="17" t="s">
        <v>55</v>
      </c>
      <c r="E6" s="18" t="s">
        <v>4</v>
      </c>
      <c r="F6" s="1"/>
      <c r="G6" s="1"/>
    </row>
    <row r="7" spans="1:19" ht="15.6" thickTop="1" thickBot="1">
      <c r="A7" s="1"/>
      <c r="B7" s="1"/>
      <c r="C7" s="16" t="s">
        <v>56</v>
      </c>
      <c r="D7" s="1">
        <f>AVERAGE(data[Amount])</f>
        <v>4136.2299999999996</v>
      </c>
      <c r="E7" s="1">
        <f>AVERAGE(data[Units])</f>
        <v>152.19999999999999</v>
      </c>
      <c r="F7" s="1"/>
      <c r="G7" s="1"/>
    </row>
    <row r="8" spans="1:19" ht="15" thickBot="1">
      <c r="A8" s="1"/>
      <c r="B8" s="1"/>
      <c r="C8" s="16" t="s">
        <v>95</v>
      </c>
      <c r="D8" s="1">
        <f>MEDIAN(data[Amount])</f>
        <v>3437</v>
      </c>
      <c r="E8" s="1">
        <f>MEDIAN(data[Units])</f>
        <v>124.5</v>
      </c>
      <c r="F8" s="1"/>
      <c r="G8" s="1"/>
    </row>
    <row r="9" spans="1:19" ht="15" thickBot="1">
      <c r="B9" s="1"/>
      <c r="C9" s="16" t="s">
        <v>93</v>
      </c>
      <c r="D9" s="1">
        <f>MIN(data[Amount])</f>
        <v>0</v>
      </c>
      <c r="E9" s="1">
        <f>MIN(data[Units])</f>
        <v>0</v>
      </c>
      <c r="F9" s="1"/>
    </row>
    <row r="10" spans="1:19" ht="15" thickBot="1">
      <c r="B10" s="1"/>
      <c r="C10" s="16" t="s">
        <v>94</v>
      </c>
      <c r="D10" s="1">
        <f>MAX(data[Amount])</f>
        <v>16184</v>
      </c>
      <c r="E10" s="1">
        <f>MAX(data[Units])</f>
        <v>525</v>
      </c>
      <c r="F10" s="1"/>
      <c r="G10" s="111"/>
      <c r="H10" s="1"/>
    </row>
    <row r="11" spans="1:19" ht="15" thickBot="1">
      <c r="B11" s="98" t="s">
        <v>97</v>
      </c>
      <c r="C11" s="16" t="s">
        <v>96</v>
      </c>
      <c r="D11" s="1">
        <f>D10-D9</f>
        <v>16184</v>
      </c>
      <c r="E11" s="1">
        <f>E10-E9</f>
        <v>525</v>
      </c>
      <c r="F11" s="1"/>
      <c r="G11" s="1"/>
      <c r="H11" s="1"/>
    </row>
    <row r="12" spans="1:19" ht="15" thickBot="1">
      <c r="G12" s="1"/>
      <c r="H12" s="1"/>
    </row>
    <row r="13" spans="1:19" ht="15" thickBot="1">
      <c r="B13" s="1"/>
      <c r="C13" s="16" t="s">
        <v>57</v>
      </c>
      <c r="D13" s="1">
        <f>_xlfn.PERCENTILE.EXC(data[Amount],0.25)</f>
        <v>1652</v>
      </c>
      <c r="E13" s="1">
        <f>_xlfn.PERCENTILE.EXC(data[Units],0.25)</f>
        <v>54</v>
      </c>
      <c r="F13" s="1"/>
      <c r="G13" s="1"/>
      <c r="H13" s="1"/>
    </row>
    <row r="14" spans="1:19" ht="15" thickBot="1">
      <c r="B14" s="1"/>
      <c r="C14" s="16" t="s">
        <v>58</v>
      </c>
      <c r="D14" s="1">
        <f>_xlfn.PERCENTILE.EXC(data[Amount],0.75)</f>
        <v>6245.75</v>
      </c>
      <c r="E14" s="1">
        <f>_xlfn.PERCENTILE.EXC(data[Units],0.75)</f>
        <v>223.5</v>
      </c>
      <c r="F14" s="1"/>
      <c r="G14" s="1"/>
      <c r="H14" s="1"/>
    </row>
    <row r="15" spans="1:19" ht="15" thickBot="1">
      <c r="B15" s="1"/>
      <c r="C15" s="1"/>
      <c r="D15" s="1"/>
      <c r="E15" s="1"/>
      <c r="F15" s="1"/>
      <c r="G15" s="1"/>
      <c r="H15" s="1"/>
    </row>
    <row r="16" spans="1:19" ht="15" thickBot="1">
      <c r="B16" s="1"/>
      <c r="C16" s="16" t="s">
        <v>59</v>
      </c>
      <c r="D16" s="16"/>
      <c r="E16" s="16"/>
      <c r="F16" s="67">
        <f>COUNTA(_xlfn.UNIQUE(data[Product]))</f>
        <v>22</v>
      </c>
      <c r="G16" s="1"/>
      <c r="H16" s="1"/>
    </row>
    <row r="17" spans="2:8">
      <c r="B17" s="1"/>
      <c r="C17" s="1"/>
      <c r="D17" s="1"/>
      <c r="E17" s="1"/>
      <c r="F17" s="1"/>
      <c r="G17" s="1"/>
      <c r="H17" s="1"/>
    </row>
    <row r="18" spans="2:8">
      <c r="B18" s="1"/>
      <c r="C18" s="1"/>
      <c r="D18" s="1"/>
      <c r="E18" s="1"/>
      <c r="F18" s="1"/>
      <c r="G18" s="1"/>
      <c r="H18" s="1"/>
    </row>
    <row r="19" spans="2:8">
      <c r="B19" s="1"/>
      <c r="C19" s="1"/>
      <c r="D19" s="1"/>
      <c r="E19" s="1"/>
      <c r="F19" s="1"/>
      <c r="G19" s="1"/>
      <c r="H19" s="1"/>
    </row>
    <row r="20" spans="2:8">
      <c r="B20" s="1"/>
      <c r="C20" s="1"/>
      <c r="D20" s="1"/>
      <c r="E20" s="1"/>
      <c r="F20" s="1"/>
      <c r="G20" s="1"/>
      <c r="H20" s="1"/>
    </row>
    <row r="21" spans="2:8">
      <c r="B21" s="1"/>
      <c r="C21" s="1"/>
      <c r="D21" s="1"/>
      <c r="E21" s="1"/>
      <c r="F21" s="1"/>
      <c r="G21" s="1"/>
      <c r="H21" s="1"/>
    </row>
    <row r="22" spans="2:8">
      <c r="B22" s="1"/>
      <c r="C22" s="1"/>
      <c r="D22" s="1"/>
      <c r="E22" s="1"/>
      <c r="F22" s="1"/>
      <c r="G22" s="1"/>
      <c r="H22" s="1"/>
    </row>
  </sheetData>
  <mergeCells count="1">
    <mergeCell ref="A1:F3"/>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305"/>
  <sheetViews>
    <sheetView topLeftCell="B1" workbookViewId="0">
      <selection activeCell="C5" sqref="C5"/>
    </sheetView>
  </sheetViews>
  <sheetFormatPr defaultColWidth="8.88671875" defaultRowHeight="14.4"/>
  <cols>
    <col min="3" max="4" width="16.109375" customWidth="1"/>
    <col min="5" max="6" width="14.5546875" customWidth="1"/>
    <col min="7" max="8" width="17.6640625" customWidth="1"/>
  </cols>
  <sheetData>
    <row r="1" spans="1:31" ht="14.4" customHeight="1">
      <c r="A1" s="116" t="s">
        <v>60</v>
      </c>
      <c r="B1" s="116"/>
      <c r="C1" s="116"/>
      <c r="D1" s="116"/>
      <c r="E1" s="116"/>
      <c r="F1" s="116"/>
      <c r="G1" s="116"/>
      <c r="H1" s="116"/>
      <c r="I1" s="116"/>
      <c r="J1" s="116"/>
      <c r="K1" s="116"/>
      <c r="L1" s="116"/>
      <c r="M1" s="116"/>
      <c r="N1" s="116"/>
      <c r="AE1" t="s">
        <v>61</v>
      </c>
    </row>
    <row r="2" spans="1:31" ht="14.4" customHeight="1">
      <c r="A2" s="116"/>
      <c r="B2" s="116"/>
      <c r="C2" s="116"/>
      <c r="D2" s="116"/>
      <c r="E2" s="116"/>
      <c r="F2" s="116"/>
      <c r="G2" s="116"/>
      <c r="H2" s="116"/>
      <c r="I2" s="116"/>
      <c r="J2" s="116"/>
      <c r="K2" s="116"/>
      <c r="L2" s="116"/>
      <c r="M2" s="116"/>
      <c r="N2" s="116"/>
    </row>
    <row r="3" spans="1:31" ht="14.4" customHeight="1">
      <c r="A3" s="116"/>
      <c r="B3" s="116"/>
      <c r="C3" s="116"/>
      <c r="D3" s="116"/>
      <c r="E3" s="116"/>
      <c r="F3" s="116"/>
      <c r="G3" s="116"/>
      <c r="H3" s="116"/>
      <c r="I3" s="116"/>
      <c r="J3" s="116"/>
      <c r="K3" s="116"/>
      <c r="L3" s="116"/>
      <c r="M3" s="116"/>
      <c r="N3" s="116"/>
    </row>
    <row r="5" spans="1:31">
      <c r="C5" s="60" t="s">
        <v>0</v>
      </c>
      <c r="D5" s="60" t="s">
        <v>1</v>
      </c>
      <c r="E5" s="60" t="s">
        <v>2</v>
      </c>
      <c r="F5" s="61" t="s">
        <v>3</v>
      </c>
      <c r="G5" s="96" t="s">
        <v>4</v>
      </c>
    </row>
    <row r="6" spans="1:31">
      <c r="C6" s="62" t="s">
        <v>54</v>
      </c>
      <c r="D6" s="62" t="s">
        <v>33</v>
      </c>
      <c r="E6" s="62" t="s">
        <v>16</v>
      </c>
      <c r="F6" s="63">
        <v>5586</v>
      </c>
      <c r="G6" s="64">
        <v>525</v>
      </c>
    </row>
    <row r="7" spans="1:31">
      <c r="C7" s="62" t="s">
        <v>45</v>
      </c>
      <c r="D7" s="62" t="s">
        <v>21</v>
      </c>
      <c r="E7" s="62" t="s">
        <v>52</v>
      </c>
      <c r="F7" s="63">
        <v>798</v>
      </c>
      <c r="G7" s="64">
        <v>519</v>
      </c>
    </row>
    <row r="8" spans="1:31">
      <c r="C8" s="62" t="s">
        <v>12</v>
      </c>
      <c r="D8" s="62" t="s">
        <v>33</v>
      </c>
      <c r="E8" s="62" t="s">
        <v>11</v>
      </c>
      <c r="F8" s="63">
        <v>819</v>
      </c>
      <c r="G8" s="64">
        <v>510</v>
      </c>
    </row>
    <row r="9" spans="1:31">
      <c r="C9" s="62" t="s">
        <v>46</v>
      </c>
      <c r="D9" s="62" t="s">
        <v>49</v>
      </c>
      <c r="E9" s="62" t="s">
        <v>14</v>
      </c>
      <c r="F9" s="63">
        <v>7777</v>
      </c>
      <c r="G9" s="64">
        <v>504</v>
      </c>
    </row>
    <row r="10" spans="1:31">
      <c r="C10" s="62" t="s">
        <v>17</v>
      </c>
      <c r="D10" s="62" t="s">
        <v>49</v>
      </c>
      <c r="E10" s="62" t="s">
        <v>41</v>
      </c>
      <c r="F10" s="63">
        <v>8463</v>
      </c>
      <c r="G10" s="64">
        <v>492</v>
      </c>
    </row>
    <row r="11" spans="1:31">
      <c r="C11" s="62" t="s">
        <v>45</v>
      </c>
      <c r="D11" s="62" t="s">
        <v>26</v>
      </c>
      <c r="E11" s="62" t="s">
        <v>27</v>
      </c>
      <c r="F11" s="63">
        <v>1785</v>
      </c>
      <c r="G11" s="64">
        <v>462</v>
      </c>
    </row>
    <row r="12" spans="1:31">
      <c r="C12" s="62" t="s">
        <v>12</v>
      </c>
      <c r="D12" s="62" t="s">
        <v>13</v>
      </c>
      <c r="E12" s="62" t="s">
        <v>14</v>
      </c>
      <c r="F12" s="63">
        <v>6706</v>
      </c>
      <c r="G12" s="64">
        <v>459</v>
      </c>
    </row>
    <row r="13" spans="1:31">
      <c r="C13" s="62" t="s">
        <v>25</v>
      </c>
      <c r="D13" s="62" t="s">
        <v>8</v>
      </c>
      <c r="E13" s="62" t="s">
        <v>53</v>
      </c>
      <c r="F13" s="63">
        <v>3556</v>
      </c>
      <c r="G13" s="64">
        <v>459</v>
      </c>
    </row>
    <row r="14" spans="1:31">
      <c r="C14" s="62" t="s">
        <v>25</v>
      </c>
      <c r="D14" s="62" t="s">
        <v>49</v>
      </c>
      <c r="E14" s="62" t="s">
        <v>50</v>
      </c>
      <c r="F14" s="63">
        <v>8008</v>
      </c>
      <c r="G14" s="64">
        <v>456</v>
      </c>
      <c r="I14" t="s">
        <v>61</v>
      </c>
    </row>
    <row r="15" spans="1:31">
      <c r="C15" s="62" t="s">
        <v>7</v>
      </c>
      <c r="D15" s="62" t="s">
        <v>13</v>
      </c>
      <c r="E15" s="62" t="s">
        <v>9</v>
      </c>
      <c r="F15" s="63">
        <v>2275</v>
      </c>
      <c r="G15" s="64">
        <v>447</v>
      </c>
    </row>
    <row r="16" spans="1:31">
      <c r="C16" s="62" t="s">
        <v>7</v>
      </c>
      <c r="D16" s="62" t="s">
        <v>13</v>
      </c>
      <c r="E16" s="62" t="s">
        <v>30</v>
      </c>
      <c r="F16" s="63">
        <v>8869</v>
      </c>
      <c r="G16" s="64">
        <v>432</v>
      </c>
    </row>
    <row r="17" spans="3:7">
      <c r="C17" s="62" t="s">
        <v>25</v>
      </c>
      <c r="D17" s="62" t="s">
        <v>26</v>
      </c>
      <c r="E17" s="62" t="s">
        <v>27</v>
      </c>
      <c r="F17" s="63">
        <v>2100</v>
      </c>
      <c r="G17" s="64">
        <v>414</v>
      </c>
    </row>
    <row r="18" spans="3:7">
      <c r="C18" s="62" t="s">
        <v>25</v>
      </c>
      <c r="D18" s="62" t="s">
        <v>8</v>
      </c>
      <c r="E18" s="62" t="s">
        <v>29</v>
      </c>
      <c r="F18" s="63">
        <v>1904</v>
      </c>
      <c r="G18" s="64">
        <v>405</v>
      </c>
    </row>
    <row r="19" spans="3:7">
      <c r="C19" s="62" t="s">
        <v>25</v>
      </c>
      <c r="D19" s="62" t="s">
        <v>13</v>
      </c>
      <c r="E19" s="62" t="s">
        <v>18</v>
      </c>
      <c r="F19" s="63">
        <v>1302</v>
      </c>
      <c r="G19" s="64">
        <v>402</v>
      </c>
    </row>
    <row r="20" spans="3:7">
      <c r="C20" s="62" t="s">
        <v>25</v>
      </c>
      <c r="D20" s="62" t="s">
        <v>26</v>
      </c>
      <c r="E20" s="62" t="s">
        <v>51</v>
      </c>
      <c r="F20" s="63">
        <v>3052</v>
      </c>
      <c r="G20" s="64">
        <v>378</v>
      </c>
    </row>
    <row r="21" spans="3:7">
      <c r="C21" s="62" t="s">
        <v>7</v>
      </c>
      <c r="D21" s="62" t="s">
        <v>13</v>
      </c>
      <c r="E21" s="62" t="s">
        <v>36</v>
      </c>
      <c r="F21" s="63">
        <v>6853</v>
      </c>
      <c r="G21" s="64">
        <v>372</v>
      </c>
    </row>
    <row r="22" spans="3:7">
      <c r="C22" s="62" t="s">
        <v>39</v>
      </c>
      <c r="D22" s="62" t="s">
        <v>49</v>
      </c>
      <c r="E22" s="62" t="s">
        <v>16</v>
      </c>
      <c r="F22" s="63">
        <v>1932</v>
      </c>
      <c r="G22" s="64">
        <v>369</v>
      </c>
    </row>
    <row r="23" spans="3:7">
      <c r="C23" s="62" t="s">
        <v>25</v>
      </c>
      <c r="D23" s="62" t="s">
        <v>49</v>
      </c>
      <c r="E23" s="62" t="s">
        <v>9</v>
      </c>
      <c r="F23" s="63">
        <v>3402</v>
      </c>
      <c r="G23" s="64">
        <v>366</v>
      </c>
    </row>
    <row r="24" spans="3:7">
      <c r="C24" s="62" t="s">
        <v>46</v>
      </c>
      <c r="D24" s="62" t="s">
        <v>8</v>
      </c>
      <c r="E24" s="62" t="s">
        <v>18</v>
      </c>
      <c r="F24" s="63">
        <v>938</v>
      </c>
      <c r="G24" s="64">
        <v>366</v>
      </c>
    </row>
    <row r="25" spans="3:7">
      <c r="C25" s="62" t="s">
        <v>12</v>
      </c>
      <c r="D25" s="62" t="s">
        <v>13</v>
      </c>
      <c r="E25" s="62" t="s">
        <v>41</v>
      </c>
      <c r="F25" s="63">
        <v>2702</v>
      </c>
      <c r="G25" s="64">
        <v>363</v>
      </c>
    </row>
    <row r="26" spans="3:7">
      <c r="C26" s="62" t="s">
        <v>42</v>
      </c>
      <c r="D26" s="62" t="s">
        <v>13</v>
      </c>
      <c r="E26" s="62" t="s">
        <v>51</v>
      </c>
      <c r="F26" s="63">
        <v>4480</v>
      </c>
      <c r="G26" s="64">
        <v>357</v>
      </c>
    </row>
    <row r="27" spans="3:7">
      <c r="C27" s="62" t="s">
        <v>45</v>
      </c>
      <c r="D27" s="62" t="s">
        <v>33</v>
      </c>
      <c r="E27" s="62" t="s">
        <v>34</v>
      </c>
      <c r="F27" s="63">
        <v>4326</v>
      </c>
      <c r="G27" s="64">
        <v>348</v>
      </c>
    </row>
    <row r="28" spans="3:7">
      <c r="C28" s="62" t="s">
        <v>42</v>
      </c>
      <c r="D28" s="62" t="s">
        <v>21</v>
      </c>
      <c r="E28" s="62" t="s">
        <v>32</v>
      </c>
      <c r="F28" s="63">
        <v>3339</v>
      </c>
      <c r="G28" s="64">
        <v>348</v>
      </c>
    </row>
    <row r="29" spans="3:7">
      <c r="C29" s="62" t="s">
        <v>54</v>
      </c>
      <c r="D29" s="62" t="s">
        <v>21</v>
      </c>
      <c r="E29" s="62" t="s">
        <v>51</v>
      </c>
      <c r="F29" s="63">
        <v>2471</v>
      </c>
      <c r="G29" s="64">
        <v>342</v>
      </c>
    </row>
    <row r="30" spans="3:7">
      <c r="C30" s="62" t="s">
        <v>42</v>
      </c>
      <c r="D30" s="62" t="s">
        <v>49</v>
      </c>
      <c r="E30" s="62" t="s">
        <v>41</v>
      </c>
      <c r="F30" s="63">
        <v>15610</v>
      </c>
      <c r="G30" s="64">
        <v>339</v>
      </c>
    </row>
    <row r="31" spans="3:7">
      <c r="C31" s="62" t="s">
        <v>39</v>
      </c>
      <c r="D31" s="62" t="s">
        <v>8</v>
      </c>
      <c r="E31" s="62" t="s">
        <v>29</v>
      </c>
      <c r="F31" s="63">
        <v>4487</v>
      </c>
      <c r="G31" s="64">
        <v>333</v>
      </c>
    </row>
    <row r="32" spans="3:7">
      <c r="C32" s="62" t="s">
        <v>46</v>
      </c>
      <c r="D32" s="62" t="s">
        <v>8</v>
      </c>
      <c r="E32" s="62" t="s">
        <v>53</v>
      </c>
      <c r="F32" s="63">
        <v>7308</v>
      </c>
      <c r="G32" s="64">
        <v>327</v>
      </c>
    </row>
    <row r="33" spans="3:7">
      <c r="C33" s="62" t="s">
        <v>46</v>
      </c>
      <c r="D33" s="62" t="s">
        <v>8</v>
      </c>
      <c r="E33" s="62" t="s">
        <v>51</v>
      </c>
      <c r="F33" s="63">
        <v>4592</v>
      </c>
      <c r="G33" s="64">
        <v>324</v>
      </c>
    </row>
    <row r="34" spans="3:7">
      <c r="C34" s="62" t="s">
        <v>39</v>
      </c>
      <c r="D34" s="62" t="s">
        <v>33</v>
      </c>
      <c r="E34" s="62" t="s">
        <v>9</v>
      </c>
      <c r="F34" s="63">
        <v>10129</v>
      </c>
      <c r="G34" s="64">
        <v>312</v>
      </c>
    </row>
    <row r="35" spans="3:7">
      <c r="C35" s="62" t="s">
        <v>46</v>
      </c>
      <c r="D35" s="62" t="s">
        <v>49</v>
      </c>
      <c r="E35" s="62" t="s">
        <v>53</v>
      </c>
      <c r="F35" s="63">
        <v>3689</v>
      </c>
      <c r="G35" s="64">
        <v>312</v>
      </c>
    </row>
    <row r="36" spans="3:7">
      <c r="C36" s="62" t="s">
        <v>20</v>
      </c>
      <c r="D36" s="62" t="s">
        <v>21</v>
      </c>
      <c r="E36" s="62" t="s">
        <v>53</v>
      </c>
      <c r="F36" s="63">
        <v>854</v>
      </c>
      <c r="G36" s="64">
        <v>309</v>
      </c>
    </row>
    <row r="37" spans="3:7">
      <c r="C37" s="62" t="s">
        <v>17</v>
      </c>
      <c r="D37" s="62" t="s">
        <v>26</v>
      </c>
      <c r="E37" s="62" t="s">
        <v>48</v>
      </c>
      <c r="F37" s="63">
        <v>3920</v>
      </c>
      <c r="G37" s="64">
        <v>306</v>
      </c>
    </row>
    <row r="38" spans="3:7">
      <c r="C38" s="62" t="s">
        <v>7</v>
      </c>
      <c r="D38" s="62" t="s">
        <v>21</v>
      </c>
      <c r="E38" s="62" t="s">
        <v>52</v>
      </c>
      <c r="F38" s="63">
        <v>3164</v>
      </c>
      <c r="G38" s="64">
        <v>306</v>
      </c>
    </row>
    <row r="39" spans="3:7">
      <c r="C39" s="62" t="s">
        <v>46</v>
      </c>
      <c r="D39" s="62" t="s">
        <v>13</v>
      </c>
      <c r="E39" s="62" t="s">
        <v>30</v>
      </c>
      <c r="F39" s="63">
        <v>819</v>
      </c>
      <c r="G39" s="64">
        <v>306</v>
      </c>
    </row>
    <row r="40" spans="3:7">
      <c r="C40" s="62" t="s">
        <v>46</v>
      </c>
      <c r="D40" s="62" t="s">
        <v>33</v>
      </c>
      <c r="E40" s="62" t="s">
        <v>50</v>
      </c>
      <c r="F40" s="63">
        <v>8841</v>
      </c>
      <c r="G40" s="64">
        <v>303</v>
      </c>
    </row>
    <row r="41" spans="3:7">
      <c r="C41" s="62" t="s">
        <v>54</v>
      </c>
      <c r="D41" s="62" t="s">
        <v>21</v>
      </c>
      <c r="E41" s="62" t="s">
        <v>14</v>
      </c>
      <c r="F41" s="63">
        <v>6657</v>
      </c>
      <c r="G41" s="64">
        <v>303</v>
      </c>
    </row>
    <row r="42" spans="3:7">
      <c r="C42" s="62" t="s">
        <v>45</v>
      </c>
      <c r="D42" s="62" t="s">
        <v>13</v>
      </c>
      <c r="E42" s="62" t="s">
        <v>32</v>
      </c>
      <c r="F42" s="63">
        <v>1589</v>
      </c>
      <c r="G42" s="64">
        <v>303</v>
      </c>
    </row>
    <row r="43" spans="3:7">
      <c r="C43" s="62" t="s">
        <v>12</v>
      </c>
      <c r="D43" s="62" t="s">
        <v>13</v>
      </c>
      <c r="E43" s="62" t="s">
        <v>52</v>
      </c>
      <c r="F43" s="63">
        <v>4753</v>
      </c>
      <c r="G43" s="64">
        <v>300</v>
      </c>
    </row>
    <row r="44" spans="3:7">
      <c r="C44" s="62" t="s">
        <v>39</v>
      </c>
      <c r="D44" s="62" t="s">
        <v>21</v>
      </c>
      <c r="E44" s="62" t="s">
        <v>38</v>
      </c>
      <c r="F44" s="63">
        <v>2870</v>
      </c>
      <c r="G44" s="64">
        <v>300</v>
      </c>
    </row>
    <row r="45" spans="3:7">
      <c r="C45" s="62" t="s">
        <v>7</v>
      </c>
      <c r="D45" s="62" t="s">
        <v>33</v>
      </c>
      <c r="E45" s="62" t="s">
        <v>11</v>
      </c>
      <c r="F45" s="63">
        <v>5670</v>
      </c>
      <c r="G45" s="64">
        <v>297</v>
      </c>
    </row>
    <row r="46" spans="3:7">
      <c r="C46" s="62" t="s">
        <v>20</v>
      </c>
      <c r="D46" s="62" t="s">
        <v>21</v>
      </c>
      <c r="E46" s="62" t="s">
        <v>22</v>
      </c>
      <c r="F46" s="63">
        <v>9632</v>
      </c>
      <c r="G46" s="64">
        <v>288</v>
      </c>
    </row>
    <row r="47" spans="3:7">
      <c r="C47" s="62" t="s">
        <v>39</v>
      </c>
      <c r="D47" s="62" t="s">
        <v>13</v>
      </c>
      <c r="E47" s="62" t="s">
        <v>53</v>
      </c>
      <c r="F47" s="63">
        <v>5194</v>
      </c>
      <c r="G47" s="64">
        <v>288</v>
      </c>
    </row>
    <row r="48" spans="3:7">
      <c r="C48" s="62" t="s">
        <v>12</v>
      </c>
      <c r="D48" s="62" t="s">
        <v>49</v>
      </c>
      <c r="E48" s="62" t="s">
        <v>34</v>
      </c>
      <c r="F48" s="63">
        <v>3507</v>
      </c>
      <c r="G48" s="64">
        <v>288</v>
      </c>
    </row>
    <row r="49" spans="3:7">
      <c r="C49" s="62" t="s">
        <v>54</v>
      </c>
      <c r="D49" s="62" t="s">
        <v>8</v>
      </c>
      <c r="E49" s="62" t="s">
        <v>44</v>
      </c>
      <c r="F49" s="63">
        <v>245</v>
      </c>
      <c r="G49" s="64">
        <v>288</v>
      </c>
    </row>
    <row r="50" spans="3:7">
      <c r="C50" s="62" t="s">
        <v>25</v>
      </c>
      <c r="D50" s="62" t="s">
        <v>33</v>
      </c>
      <c r="E50" s="62" t="s">
        <v>52</v>
      </c>
      <c r="F50" s="63">
        <v>1134</v>
      </c>
      <c r="G50" s="64">
        <v>282</v>
      </c>
    </row>
    <row r="51" spans="3:7">
      <c r="C51" s="62" t="s">
        <v>54</v>
      </c>
      <c r="D51" s="62" t="s">
        <v>26</v>
      </c>
      <c r="E51" s="62" t="s">
        <v>44</v>
      </c>
      <c r="F51" s="63">
        <v>4858</v>
      </c>
      <c r="G51" s="64">
        <v>279</v>
      </c>
    </row>
    <row r="52" spans="3:7">
      <c r="C52" s="62" t="s">
        <v>54</v>
      </c>
      <c r="D52" s="62" t="s">
        <v>13</v>
      </c>
      <c r="E52" s="62" t="s">
        <v>22</v>
      </c>
      <c r="F52" s="63">
        <v>3808</v>
      </c>
      <c r="G52" s="64">
        <v>279</v>
      </c>
    </row>
    <row r="53" spans="3:7">
      <c r="C53" s="62" t="s">
        <v>46</v>
      </c>
      <c r="D53" s="62" t="s">
        <v>49</v>
      </c>
      <c r="E53" s="62" t="s">
        <v>16</v>
      </c>
      <c r="F53" s="63">
        <v>7259</v>
      </c>
      <c r="G53" s="64">
        <v>276</v>
      </c>
    </row>
    <row r="54" spans="3:7">
      <c r="C54" s="62" t="s">
        <v>46</v>
      </c>
      <c r="D54" s="62" t="s">
        <v>13</v>
      </c>
      <c r="E54" s="62" t="s">
        <v>24</v>
      </c>
      <c r="F54" s="63">
        <v>6657</v>
      </c>
      <c r="G54" s="64">
        <v>276</v>
      </c>
    </row>
    <row r="55" spans="3:7">
      <c r="C55" s="62" t="s">
        <v>17</v>
      </c>
      <c r="D55" s="62" t="s">
        <v>8</v>
      </c>
      <c r="E55" s="62" t="s">
        <v>51</v>
      </c>
      <c r="F55" s="63">
        <v>1085</v>
      </c>
      <c r="G55" s="64">
        <v>273</v>
      </c>
    </row>
    <row r="56" spans="3:7">
      <c r="C56" s="62" t="s">
        <v>39</v>
      </c>
      <c r="D56" s="62" t="s">
        <v>33</v>
      </c>
      <c r="E56" s="62" t="s">
        <v>22</v>
      </c>
      <c r="F56" s="63">
        <v>1778</v>
      </c>
      <c r="G56" s="64">
        <v>270</v>
      </c>
    </row>
    <row r="57" spans="3:7">
      <c r="C57" s="62" t="s">
        <v>25</v>
      </c>
      <c r="D57" s="62" t="s">
        <v>13</v>
      </c>
      <c r="E57" s="62" t="s">
        <v>41</v>
      </c>
      <c r="F57" s="63">
        <v>1071</v>
      </c>
      <c r="G57" s="64">
        <v>270</v>
      </c>
    </row>
    <row r="58" spans="3:7">
      <c r="C58" s="62" t="s">
        <v>54</v>
      </c>
      <c r="D58" s="62" t="s">
        <v>21</v>
      </c>
      <c r="E58" s="62" t="s">
        <v>47</v>
      </c>
      <c r="F58" s="63">
        <v>2317</v>
      </c>
      <c r="G58" s="64">
        <v>261</v>
      </c>
    </row>
    <row r="59" spans="3:7">
      <c r="C59" s="62" t="s">
        <v>39</v>
      </c>
      <c r="D59" s="62" t="s">
        <v>33</v>
      </c>
      <c r="E59" s="62" t="s">
        <v>53</v>
      </c>
      <c r="F59" s="63">
        <v>5677</v>
      </c>
      <c r="G59" s="64">
        <v>258</v>
      </c>
    </row>
    <row r="60" spans="3:7">
      <c r="C60" s="62" t="s">
        <v>46</v>
      </c>
      <c r="D60" s="62" t="s">
        <v>13</v>
      </c>
      <c r="E60" s="62" t="s">
        <v>16</v>
      </c>
      <c r="F60" s="63">
        <v>2415</v>
      </c>
      <c r="G60" s="64">
        <v>255</v>
      </c>
    </row>
    <row r="61" spans="3:7">
      <c r="C61" s="62" t="s">
        <v>39</v>
      </c>
      <c r="D61" s="62" t="s">
        <v>13</v>
      </c>
      <c r="E61" s="62" t="s">
        <v>9</v>
      </c>
      <c r="F61" s="63">
        <v>6755</v>
      </c>
      <c r="G61" s="64">
        <v>252</v>
      </c>
    </row>
    <row r="62" spans="3:7">
      <c r="C62" s="62" t="s">
        <v>39</v>
      </c>
      <c r="D62" s="62" t="s">
        <v>21</v>
      </c>
      <c r="E62" s="62" t="s">
        <v>51</v>
      </c>
      <c r="F62" s="63">
        <v>5551</v>
      </c>
      <c r="G62" s="64">
        <v>252</v>
      </c>
    </row>
    <row r="63" spans="3:7">
      <c r="C63" s="62" t="s">
        <v>42</v>
      </c>
      <c r="D63" s="62" t="s">
        <v>26</v>
      </c>
      <c r="E63" s="62" t="s">
        <v>22</v>
      </c>
      <c r="F63" s="63">
        <v>385</v>
      </c>
      <c r="G63" s="64">
        <v>249</v>
      </c>
    </row>
    <row r="64" spans="3:7">
      <c r="C64" s="62" t="s">
        <v>42</v>
      </c>
      <c r="D64" s="62" t="s">
        <v>13</v>
      </c>
      <c r="E64" s="62" t="s">
        <v>34</v>
      </c>
      <c r="F64" s="63">
        <v>4753</v>
      </c>
      <c r="G64" s="64">
        <v>246</v>
      </c>
    </row>
    <row r="65" spans="3:7">
      <c r="C65" s="62" t="s">
        <v>39</v>
      </c>
      <c r="D65" s="62" t="s">
        <v>26</v>
      </c>
      <c r="E65" s="62" t="s">
        <v>32</v>
      </c>
      <c r="F65" s="63">
        <v>4438</v>
      </c>
      <c r="G65" s="64">
        <v>246</v>
      </c>
    </row>
    <row r="66" spans="3:7">
      <c r="C66" s="62" t="s">
        <v>45</v>
      </c>
      <c r="D66" s="62" t="s">
        <v>21</v>
      </c>
      <c r="E66" s="62" t="s">
        <v>34</v>
      </c>
      <c r="F66" s="63">
        <v>3094</v>
      </c>
      <c r="G66" s="64">
        <v>246</v>
      </c>
    </row>
    <row r="67" spans="3:7">
      <c r="C67" s="62" t="s">
        <v>17</v>
      </c>
      <c r="D67" s="62" t="s">
        <v>8</v>
      </c>
      <c r="E67" s="62" t="s">
        <v>50</v>
      </c>
      <c r="F67" s="63">
        <v>2856</v>
      </c>
      <c r="G67" s="64">
        <v>246</v>
      </c>
    </row>
    <row r="68" spans="3:7">
      <c r="C68" s="62" t="s">
        <v>17</v>
      </c>
      <c r="D68" s="62" t="s">
        <v>13</v>
      </c>
      <c r="E68" s="62" t="s">
        <v>24</v>
      </c>
      <c r="F68" s="63">
        <v>7833</v>
      </c>
      <c r="G68" s="64">
        <v>243</v>
      </c>
    </row>
    <row r="69" spans="3:7">
      <c r="C69" s="62" t="s">
        <v>39</v>
      </c>
      <c r="D69" s="62" t="s">
        <v>13</v>
      </c>
      <c r="E69" s="62" t="s">
        <v>38</v>
      </c>
      <c r="F69" s="63">
        <v>4585</v>
      </c>
      <c r="G69" s="64">
        <v>240</v>
      </c>
    </row>
    <row r="70" spans="3:7">
      <c r="C70" s="62" t="s">
        <v>20</v>
      </c>
      <c r="D70" s="62" t="s">
        <v>8</v>
      </c>
      <c r="E70" s="62" t="s">
        <v>9</v>
      </c>
      <c r="F70" s="63">
        <v>1526</v>
      </c>
      <c r="G70" s="64">
        <v>240</v>
      </c>
    </row>
    <row r="71" spans="3:7">
      <c r="C71" s="62" t="s">
        <v>42</v>
      </c>
      <c r="D71" s="62" t="s">
        <v>49</v>
      </c>
      <c r="E71" s="62" t="s">
        <v>36</v>
      </c>
      <c r="F71" s="63">
        <v>6279</v>
      </c>
      <c r="G71" s="64">
        <v>237</v>
      </c>
    </row>
    <row r="72" spans="3:7">
      <c r="C72" s="62" t="s">
        <v>7</v>
      </c>
      <c r="D72" s="62" t="s">
        <v>13</v>
      </c>
      <c r="E72" s="62" t="s">
        <v>14</v>
      </c>
      <c r="F72" s="63">
        <v>12348</v>
      </c>
      <c r="G72" s="64">
        <v>234</v>
      </c>
    </row>
    <row r="73" spans="3:7">
      <c r="C73" s="62" t="s">
        <v>46</v>
      </c>
      <c r="D73" s="62" t="s">
        <v>13</v>
      </c>
      <c r="E73" s="62" t="s">
        <v>27</v>
      </c>
      <c r="F73" s="63">
        <v>2464</v>
      </c>
      <c r="G73" s="64">
        <v>234</v>
      </c>
    </row>
    <row r="74" spans="3:7">
      <c r="C74" s="62" t="s">
        <v>12</v>
      </c>
      <c r="D74" s="62" t="s">
        <v>33</v>
      </c>
      <c r="E74" s="62" t="s">
        <v>47</v>
      </c>
      <c r="F74" s="63">
        <v>1701</v>
      </c>
      <c r="G74" s="64">
        <v>234</v>
      </c>
    </row>
    <row r="75" spans="3:7">
      <c r="C75" s="62" t="s">
        <v>20</v>
      </c>
      <c r="D75" s="62" t="s">
        <v>21</v>
      </c>
      <c r="E75" s="62" t="s">
        <v>11</v>
      </c>
      <c r="F75" s="63">
        <v>10311</v>
      </c>
      <c r="G75" s="64">
        <v>231</v>
      </c>
    </row>
    <row r="76" spans="3:7">
      <c r="C76" s="62" t="s">
        <v>20</v>
      </c>
      <c r="D76" s="62" t="s">
        <v>8</v>
      </c>
      <c r="E76" s="62" t="s">
        <v>24</v>
      </c>
      <c r="F76" s="63">
        <v>714</v>
      </c>
      <c r="G76" s="64">
        <v>231</v>
      </c>
    </row>
    <row r="77" spans="3:7">
      <c r="C77" s="62" t="s">
        <v>54</v>
      </c>
      <c r="D77" s="62" t="s">
        <v>13</v>
      </c>
      <c r="E77" s="62" t="s">
        <v>44</v>
      </c>
      <c r="F77" s="63">
        <v>567</v>
      </c>
      <c r="G77" s="64">
        <v>228</v>
      </c>
    </row>
    <row r="78" spans="3:7">
      <c r="C78" s="62" t="s">
        <v>39</v>
      </c>
      <c r="D78" s="62" t="s">
        <v>8</v>
      </c>
      <c r="E78" s="62" t="s">
        <v>16</v>
      </c>
      <c r="F78" s="63">
        <v>6608</v>
      </c>
      <c r="G78" s="64">
        <v>225</v>
      </c>
    </row>
    <row r="79" spans="3:7">
      <c r="C79" s="62" t="s">
        <v>7</v>
      </c>
      <c r="D79" s="62" t="s">
        <v>26</v>
      </c>
      <c r="E79" s="62" t="s">
        <v>53</v>
      </c>
      <c r="F79" s="63">
        <v>3101</v>
      </c>
      <c r="G79" s="64">
        <v>225</v>
      </c>
    </row>
    <row r="80" spans="3:7">
      <c r="C80" s="62" t="s">
        <v>20</v>
      </c>
      <c r="D80" s="62" t="s">
        <v>49</v>
      </c>
      <c r="E80" s="62" t="s">
        <v>29</v>
      </c>
      <c r="F80" s="63">
        <v>1274</v>
      </c>
      <c r="G80" s="64">
        <v>225</v>
      </c>
    </row>
    <row r="81" spans="3:7">
      <c r="C81" s="62" t="s">
        <v>12</v>
      </c>
      <c r="D81" s="62" t="s">
        <v>49</v>
      </c>
      <c r="E81" s="62" t="s">
        <v>29</v>
      </c>
      <c r="F81" s="63">
        <v>2009</v>
      </c>
      <c r="G81" s="64">
        <v>219</v>
      </c>
    </row>
    <row r="82" spans="3:7">
      <c r="C82" s="62" t="s">
        <v>20</v>
      </c>
      <c r="D82" s="62" t="s">
        <v>13</v>
      </c>
      <c r="E82" s="62" t="s">
        <v>53</v>
      </c>
      <c r="F82" s="63">
        <v>7455</v>
      </c>
      <c r="G82" s="64">
        <v>216</v>
      </c>
    </row>
    <row r="83" spans="3:7">
      <c r="C83" s="62" t="s">
        <v>45</v>
      </c>
      <c r="D83" s="62" t="s">
        <v>26</v>
      </c>
      <c r="E83" s="62" t="s">
        <v>44</v>
      </c>
      <c r="F83" s="63">
        <v>7651</v>
      </c>
      <c r="G83" s="64">
        <v>213</v>
      </c>
    </row>
    <row r="84" spans="3:7">
      <c r="C84" s="62" t="s">
        <v>12</v>
      </c>
      <c r="D84" s="62" t="s">
        <v>33</v>
      </c>
      <c r="E84" s="62" t="s">
        <v>14</v>
      </c>
      <c r="F84" s="63">
        <v>3752</v>
      </c>
      <c r="G84" s="64">
        <v>213</v>
      </c>
    </row>
    <row r="85" spans="3:7">
      <c r="C85" s="62" t="s">
        <v>12</v>
      </c>
      <c r="D85" s="62" t="s">
        <v>26</v>
      </c>
      <c r="E85" s="62" t="s">
        <v>34</v>
      </c>
      <c r="F85" s="63">
        <v>8890</v>
      </c>
      <c r="G85" s="64">
        <v>210</v>
      </c>
    </row>
    <row r="86" spans="3:7">
      <c r="C86" s="62" t="s">
        <v>12</v>
      </c>
      <c r="D86" s="62" t="s">
        <v>13</v>
      </c>
      <c r="E86" s="62" t="s">
        <v>36</v>
      </c>
      <c r="F86" s="63">
        <v>5012</v>
      </c>
      <c r="G86" s="64">
        <v>210</v>
      </c>
    </row>
    <row r="87" spans="3:7">
      <c r="C87" s="62" t="s">
        <v>39</v>
      </c>
      <c r="D87" s="62" t="s">
        <v>8</v>
      </c>
      <c r="E87" s="62" t="s">
        <v>36</v>
      </c>
      <c r="F87" s="63">
        <v>9835</v>
      </c>
      <c r="G87" s="64">
        <v>207</v>
      </c>
    </row>
    <row r="88" spans="3:7">
      <c r="C88" s="62" t="s">
        <v>25</v>
      </c>
      <c r="D88" s="62" t="s">
        <v>49</v>
      </c>
      <c r="E88" s="62" t="s">
        <v>52</v>
      </c>
      <c r="F88" s="63">
        <v>4242</v>
      </c>
      <c r="G88" s="64">
        <v>207</v>
      </c>
    </row>
    <row r="89" spans="3:7">
      <c r="C89" s="62" t="s">
        <v>17</v>
      </c>
      <c r="D89" s="62" t="s">
        <v>8</v>
      </c>
      <c r="E89" s="62" t="s">
        <v>18</v>
      </c>
      <c r="F89" s="63">
        <v>259</v>
      </c>
      <c r="G89" s="64">
        <v>207</v>
      </c>
    </row>
    <row r="90" spans="3:7">
      <c r="C90" s="62" t="s">
        <v>17</v>
      </c>
      <c r="D90" s="62" t="s">
        <v>21</v>
      </c>
      <c r="E90" s="62" t="s">
        <v>52</v>
      </c>
      <c r="F90" s="63">
        <v>11522</v>
      </c>
      <c r="G90" s="64">
        <v>204</v>
      </c>
    </row>
    <row r="91" spans="3:7">
      <c r="C91" s="62" t="s">
        <v>54</v>
      </c>
      <c r="D91" s="62" t="s">
        <v>49</v>
      </c>
      <c r="E91" s="62" t="s">
        <v>38</v>
      </c>
      <c r="F91" s="63">
        <v>5355</v>
      </c>
      <c r="G91" s="64">
        <v>204</v>
      </c>
    </row>
    <row r="92" spans="3:7">
      <c r="C92" s="62" t="s">
        <v>17</v>
      </c>
      <c r="D92" s="62" t="s">
        <v>26</v>
      </c>
      <c r="E92" s="62" t="s">
        <v>22</v>
      </c>
      <c r="F92" s="63">
        <v>2639</v>
      </c>
      <c r="G92" s="64">
        <v>204</v>
      </c>
    </row>
    <row r="93" spans="3:7">
      <c r="C93" s="62" t="s">
        <v>12</v>
      </c>
      <c r="D93" s="62" t="s">
        <v>8</v>
      </c>
      <c r="E93" s="62" t="s">
        <v>38</v>
      </c>
      <c r="F93" s="63">
        <v>1771</v>
      </c>
      <c r="G93" s="64">
        <v>204</v>
      </c>
    </row>
    <row r="94" spans="3:7">
      <c r="C94" s="62" t="s">
        <v>20</v>
      </c>
      <c r="D94" s="62" t="s">
        <v>21</v>
      </c>
      <c r="E94" s="62" t="s">
        <v>50</v>
      </c>
      <c r="F94" s="63">
        <v>98</v>
      </c>
      <c r="G94" s="64">
        <v>204</v>
      </c>
    </row>
    <row r="95" spans="3:7">
      <c r="C95" s="62" t="s">
        <v>42</v>
      </c>
      <c r="D95" s="62" t="s">
        <v>13</v>
      </c>
      <c r="E95" s="62" t="s">
        <v>24</v>
      </c>
      <c r="F95" s="63">
        <v>13391</v>
      </c>
      <c r="G95" s="64">
        <v>201</v>
      </c>
    </row>
    <row r="96" spans="3:7">
      <c r="C96" s="62" t="s">
        <v>45</v>
      </c>
      <c r="D96" s="62" t="s">
        <v>8</v>
      </c>
      <c r="E96" s="62" t="s">
        <v>32</v>
      </c>
      <c r="F96" s="63">
        <v>9926</v>
      </c>
      <c r="G96" s="64">
        <v>201</v>
      </c>
    </row>
    <row r="97" spans="3:7">
      <c r="C97" s="62" t="s">
        <v>42</v>
      </c>
      <c r="D97" s="62" t="s">
        <v>49</v>
      </c>
      <c r="E97" s="62" t="s">
        <v>24</v>
      </c>
      <c r="F97" s="63">
        <v>7280</v>
      </c>
      <c r="G97" s="64">
        <v>201</v>
      </c>
    </row>
    <row r="98" spans="3:7">
      <c r="C98" s="62" t="s">
        <v>7</v>
      </c>
      <c r="D98" s="62" t="s">
        <v>21</v>
      </c>
      <c r="E98" s="62" t="s">
        <v>11</v>
      </c>
      <c r="F98" s="63">
        <v>4424</v>
      </c>
      <c r="G98" s="64">
        <v>201</v>
      </c>
    </row>
    <row r="99" spans="3:7">
      <c r="C99" s="62" t="s">
        <v>39</v>
      </c>
      <c r="D99" s="62" t="s">
        <v>26</v>
      </c>
      <c r="E99" s="62" t="s">
        <v>52</v>
      </c>
      <c r="F99" s="63">
        <v>966</v>
      </c>
      <c r="G99" s="64">
        <v>198</v>
      </c>
    </row>
    <row r="100" spans="3:7">
      <c r="C100" s="62" t="s">
        <v>54</v>
      </c>
      <c r="D100" s="62" t="s">
        <v>13</v>
      </c>
      <c r="E100" s="62" t="s">
        <v>41</v>
      </c>
      <c r="F100" s="63">
        <v>1974</v>
      </c>
      <c r="G100" s="64">
        <v>195</v>
      </c>
    </row>
    <row r="101" spans="3:7">
      <c r="C101" s="62" t="s">
        <v>12</v>
      </c>
      <c r="D101" s="62" t="s">
        <v>8</v>
      </c>
      <c r="E101" s="62" t="s">
        <v>36</v>
      </c>
      <c r="F101" s="63">
        <v>1890</v>
      </c>
      <c r="G101" s="64">
        <v>195</v>
      </c>
    </row>
    <row r="102" spans="3:7">
      <c r="C102" s="62" t="s">
        <v>42</v>
      </c>
      <c r="D102" s="62" t="s">
        <v>49</v>
      </c>
      <c r="E102" s="62" t="s">
        <v>38</v>
      </c>
      <c r="F102" s="63">
        <v>861</v>
      </c>
      <c r="G102" s="64">
        <v>195</v>
      </c>
    </row>
    <row r="103" spans="3:7">
      <c r="C103" s="62" t="s">
        <v>20</v>
      </c>
      <c r="D103" s="62" t="s">
        <v>21</v>
      </c>
      <c r="E103" s="62" t="s">
        <v>38</v>
      </c>
      <c r="F103" s="63">
        <v>1925</v>
      </c>
      <c r="G103" s="64">
        <v>192</v>
      </c>
    </row>
    <row r="104" spans="3:7">
      <c r="C104" s="62" t="s">
        <v>39</v>
      </c>
      <c r="D104" s="62" t="s">
        <v>49</v>
      </c>
      <c r="E104" s="62" t="s">
        <v>48</v>
      </c>
      <c r="F104" s="63">
        <v>8862</v>
      </c>
      <c r="G104" s="64">
        <v>189</v>
      </c>
    </row>
    <row r="105" spans="3:7">
      <c r="C105" s="62" t="s">
        <v>25</v>
      </c>
      <c r="D105" s="62" t="s">
        <v>8</v>
      </c>
      <c r="E105" s="62" t="s">
        <v>47</v>
      </c>
      <c r="F105" s="63">
        <v>4949</v>
      </c>
      <c r="G105" s="64">
        <v>189</v>
      </c>
    </row>
    <row r="106" spans="3:7">
      <c r="C106" s="62" t="s">
        <v>17</v>
      </c>
      <c r="D106" s="62" t="s">
        <v>21</v>
      </c>
      <c r="E106" s="62" t="s">
        <v>14</v>
      </c>
      <c r="F106" s="63">
        <v>2954</v>
      </c>
      <c r="G106" s="64">
        <v>189</v>
      </c>
    </row>
    <row r="107" spans="3:7">
      <c r="C107" s="62" t="s">
        <v>17</v>
      </c>
      <c r="D107" s="62" t="s">
        <v>49</v>
      </c>
      <c r="E107" s="62" t="s">
        <v>29</v>
      </c>
      <c r="F107" s="63">
        <v>938</v>
      </c>
      <c r="G107" s="64">
        <v>189</v>
      </c>
    </row>
    <row r="108" spans="3:7">
      <c r="C108" s="62" t="s">
        <v>20</v>
      </c>
      <c r="D108" s="62" t="s">
        <v>13</v>
      </c>
      <c r="E108" s="62" t="s">
        <v>24</v>
      </c>
      <c r="F108" s="63">
        <v>2114</v>
      </c>
      <c r="G108" s="64">
        <v>186</v>
      </c>
    </row>
    <row r="109" spans="3:7">
      <c r="C109" s="62" t="s">
        <v>12</v>
      </c>
      <c r="D109" s="62" t="s">
        <v>26</v>
      </c>
      <c r="E109" s="62" t="s">
        <v>9</v>
      </c>
      <c r="F109" s="63">
        <v>7021</v>
      </c>
      <c r="G109" s="64">
        <v>183</v>
      </c>
    </row>
    <row r="110" spans="3:7">
      <c r="C110" s="62" t="s">
        <v>45</v>
      </c>
      <c r="D110" s="62" t="s">
        <v>33</v>
      </c>
      <c r="E110" s="62" t="s">
        <v>53</v>
      </c>
      <c r="F110" s="63">
        <v>6580</v>
      </c>
      <c r="G110" s="64">
        <v>183</v>
      </c>
    </row>
    <row r="111" spans="3:7">
      <c r="C111" s="62" t="s">
        <v>25</v>
      </c>
      <c r="D111" s="62" t="s">
        <v>13</v>
      </c>
      <c r="E111" s="62" t="s">
        <v>52</v>
      </c>
      <c r="F111" s="63">
        <v>3864</v>
      </c>
      <c r="G111" s="64">
        <v>177</v>
      </c>
    </row>
    <row r="112" spans="3:7">
      <c r="C112" s="62" t="s">
        <v>39</v>
      </c>
      <c r="D112" s="62" t="s">
        <v>21</v>
      </c>
      <c r="E112" s="62" t="s">
        <v>22</v>
      </c>
      <c r="F112" s="63">
        <v>2646</v>
      </c>
      <c r="G112" s="64">
        <v>177</v>
      </c>
    </row>
    <row r="113" spans="3:7">
      <c r="C113" s="62" t="s">
        <v>20</v>
      </c>
      <c r="D113" s="62" t="s">
        <v>8</v>
      </c>
      <c r="E113" s="62" t="s">
        <v>50</v>
      </c>
      <c r="F113" s="63">
        <v>2324</v>
      </c>
      <c r="G113" s="64">
        <v>177</v>
      </c>
    </row>
    <row r="114" spans="3:7">
      <c r="C114" s="62" t="s">
        <v>20</v>
      </c>
      <c r="D114" s="62" t="s">
        <v>49</v>
      </c>
      <c r="E114" s="62" t="s">
        <v>30</v>
      </c>
      <c r="F114" s="63">
        <v>7847</v>
      </c>
      <c r="G114" s="64">
        <v>174</v>
      </c>
    </row>
    <row r="115" spans="3:7">
      <c r="C115" s="62" t="s">
        <v>20</v>
      </c>
      <c r="D115" s="62" t="s">
        <v>21</v>
      </c>
      <c r="E115" s="62" t="s">
        <v>9</v>
      </c>
      <c r="F115" s="63">
        <v>6118</v>
      </c>
      <c r="G115" s="64">
        <v>174</v>
      </c>
    </row>
    <row r="116" spans="3:7">
      <c r="C116" s="62" t="s">
        <v>7</v>
      </c>
      <c r="D116" s="62" t="s">
        <v>13</v>
      </c>
      <c r="E116" s="62" t="s">
        <v>29</v>
      </c>
      <c r="F116" s="63">
        <v>4725</v>
      </c>
      <c r="G116" s="64">
        <v>174</v>
      </c>
    </row>
    <row r="117" spans="3:7">
      <c r="C117" s="62" t="s">
        <v>17</v>
      </c>
      <c r="D117" s="62" t="s">
        <v>49</v>
      </c>
      <c r="E117" s="62" t="s">
        <v>32</v>
      </c>
      <c r="F117" s="63">
        <v>707</v>
      </c>
      <c r="G117" s="64">
        <v>174</v>
      </c>
    </row>
    <row r="118" spans="3:7">
      <c r="C118" s="62" t="s">
        <v>46</v>
      </c>
      <c r="D118" s="62" t="s">
        <v>26</v>
      </c>
      <c r="E118" s="62" t="s">
        <v>50</v>
      </c>
      <c r="F118" s="63">
        <v>4956</v>
      </c>
      <c r="G118" s="64">
        <v>171</v>
      </c>
    </row>
    <row r="119" spans="3:7">
      <c r="C119" s="62" t="s">
        <v>42</v>
      </c>
      <c r="D119" s="62" t="s">
        <v>26</v>
      </c>
      <c r="E119" s="62" t="s">
        <v>48</v>
      </c>
      <c r="F119" s="63">
        <v>4018</v>
      </c>
      <c r="G119" s="64">
        <v>171</v>
      </c>
    </row>
    <row r="120" spans="3:7">
      <c r="C120" s="62" t="s">
        <v>42</v>
      </c>
      <c r="D120" s="62" t="s">
        <v>33</v>
      </c>
      <c r="E120" s="62" t="s">
        <v>38</v>
      </c>
      <c r="F120" s="63">
        <v>5474</v>
      </c>
      <c r="G120" s="64">
        <v>168</v>
      </c>
    </row>
    <row r="121" spans="3:7">
      <c r="C121" s="62" t="s">
        <v>12</v>
      </c>
      <c r="D121" s="62" t="s">
        <v>13</v>
      </c>
      <c r="E121" s="62" t="s">
        <v>51</v>
      </c>
      <c r="F121" s="63">
        <v>2023</v>
      </c>
      <c r="G121" s="64">
        <v>168</v>
      </c>
    </row>
    <row r="122" spans="3:7">
      <c r="C122" s="62" t="s">
        <v>46</v>
      </c>
      <c r="D122" s="62" t="s">
        <v>26</v>
      </c>
      <c r="E122" s="62" t="s">
        <v>29</v>
      </c>
      <c r="F122" s="63">
        <v>21</v>
      </c>
      <c r="G122" s="64">
        <v>168</v>
      </c>
    </row>
    <row r="123" spans="3:7">
      <c r="C123" s="62" t="s">
        <v>46</v>
      </c>
      <c r="D123" s="62" t="s">
        <v>21</v>
      </c>
      <c r="E123" s="62" t="s">
        <v>47</v>
      </c>
      <c r="F123" s="63">
        <v>3773</v>
      </c>
      <c r="G123" s="64">
        <v>165</v>
      </c>
    </row>
    <row r="124" spans="3:7">
      <c r="C124" s="62" t="s">
        <v>45</v>
      </c>
      <c r="D124" s="62" t="s">
        <v>26</v>
      </c>
      <c r="E124" s="62" t="s">
        <v>41</v>
      </c>
      <c r="F124" s="63">
        <v>9443</v>
      </c>
      <c r="G124" s="64">
        <v>162</v>
      </c>
    </row>
    <row r="125" spans="3:7">
      <c r="C125" s="62" t="s">
        <v>7</v>
      </c>
      <c r="D125" s="62" t="s">
        <v>49</v>
      </c>
      <c r="E125" s="62" t="s">
        <v>38</v>
      </c>
      <c r="F125" s="63">
        <v>4018</v>
      </c>
      <c r="G125" s="64">
        <v>162</v>
      </c>
    </row>
    <row r="126" spans="3:7">
      <c r="C126" s="62" t="s">
        <v>46</v>
      </c>
      <c r="D126" s="62" t="s">
        <v>21</v>
      </c>
      <c r="E126" s="62" t="s">
        <v>53</v>
      </c>
      <c r="F126" s="63">
        <v>973</v>
      </c>
      <c r="G126" s="64">
        <v>162</v>
      </c>
    </row>
    <row r="127" spans="3:7">
      <c r="C127" s="62" t="s">
        <v>7</v>
      </c>
      <c r="D127" s="62" t="s">
        <v>49</v>
      </c>
      <c r="E127" s="62" t="s">
        <v>30</v>
      </c>
      <c r="F127" s="63">
        <v>3794</v>
      </c>
      <c r="G127" s="64">
        <v>159</v>
      </c>
    </row>
    <row r="128" spans="3:7">
      <c r="C128" s="62" t="s">
        <v>17</v>
      </c>
      <c r="D128" s="62" t="s">
        <v>13</v>
      </c>
      <c r="E128" s="62" t="s">
        <v>50</v>
      </c>
      <c r="F128" s="63">
        <v>98</v>
      </c>
      <c r="G128" s="64">
        <v>159</v>
      </c>
    </row>
    <row r="129" spans="3:7">
      <c r="C129" s="62" t="s">
        <v>7</v>
      </c>
      <c r="D129" s="62" t="s">
        <v>49</v>
      </c>
      <c r="E129" s="62" t="s">
        <v>32</v>
      </c>
      <c r="F129" s="63">
        <v>5019</v>
      </c>
      <c r="G129" s="64">
        <v>156</v>
      </c>
    </row>
    <row r="130" spans="3:7">
      <c r="C130" s="62" t="s">
        <v>25</v>
      </c>
      <c r="D130" s="62" t="s">
        <v>21</v>
      </c>
      <c r="E130" s="62" t="s">
        <v>32</v>
      </c>
      <c r="F130" s="63">
        <v>4970</v>
      </c>
      <c r="G130" s="64">
        <v>156</v>
      </c>
    </row>
    <row r="131" spans="3:7">
      <c r="C131" s="62" t="s">
        <v>17</v>
      </c>
      <c r="D131" s="62" t="s">
        <v>8</v>
      </c>
      <c r="E131" s="62" t="s">
        <v>27</v>
      </c>
      <c r="F131" s="63">
        <v>4305</v>
      </c>
      <c r="G131" s="64">
        <v>156</v>
      </c>
    </row>
    <row r="132" spans="3:7">
      <c r="C132" s="62" t="s">
        <v>45</v>
      </c>
      <c r="D132" s="62" t="s">
        <v>33</v>
      </c>
      <c r="E132" s="62" t="s">
        <v>47</v>
      </c>
      <c r="F132" s="63">
        <v>4417</v>
      </c>
      <c r="G132" s="64">
        <v>153</v>
      </c>
    </row>
    <row r="133" spans="3:7">
      <c r="C133" s="62" t="s">
        <v>17</v>
      </c>
      <c r="D133" s="62" t="s">
        <v>49</v>
      </c>
      <c r="E133" s="62" t="s">
        <v>53</v>
      </c>
      <c r="F133" s="63">
        <v>14329</v>
      </c>
      <c r="G133" s="64">
        <v>150</v>
      </c>
    </row>
    <row r="134" spans="3:7">
      <c r="C134" s="62" t="s">
        <v>12</v>
      </c>
      <c r="D134" s="62" t="s">
        <v>21</v>
      </c>
      <c r="E134" s="62" t="s">
        <v>47</v>
      </c>
      <c r="F134" s="63">
        <v>5019</v>
      </c>
      <c r="G134" s="64">
        <v>150</v>
      </c>
    </row>
    <row r="135" spans="3:7">
      <c r="C135" s="62" t="s">
        <v>25</v>
      </c>
      <c r="D135" s="62" t="s">
        <v>49</v>
      </c>
      <c r="E135" s="62" t="s">
        <v>32</v>
      </c>
      <c r="F135" s="63">
        <v>3759</v>
      </c>
      <c r="G135" s="64">
        <v>150</v>
      </c>
    </row>
    <row r="136" spans="3:7">
      <c r="C136" s="62" t="s">
        <v>12</v>
      </c>
      <c r="D136" s="62" t="s">
        <v>8</v>
      </c>
      <c r="E136" s="62" t="s">
        <v>9</v>
      </c>
      <c r="F136" s="63">
        <v>42</v>
      </c>
      <c r="G136" s="64">
        <v>150</v>
      </c>
    </row>
    <row r="137" spans="3:7">
      <c r="C137" s="62" t="s">
        <v>17</v>
      </c>
      <c r="D137" s="62" t="s">
        <v>13</v>
      </c>
      <c r="E137" s="62" t="s">
        <v>18</v>
      </c>
      <c r="F137" s="63">
        <v>959</v>
      </c>
      <c r="G137" s="64">
        <v>147</v>
      </c>
    </row>
    <row r="138" spans="3:7">
      <c r="C138" s="62" t="s">
        <v>45</v>
      </c>
      <c r="D138" s="62" t="s">
        <v>26</v>
      </c>
      <c r="E138" s="62" t="s">
        <v>53</v>
      </c>
      <c r="F138" s="63">
        <v>6027</v>
      </c>
      <c r="G138" s="64">
        <v>144</v>
      </c>
    </row>
    <row r="139" spans="3:7">
      <c r="C139" s="62" t="s">
        <v>46</v>
      </c>
      <c r="D139" s="62" t="s">
        <v>8</v>
      </c>
      <c r="E139" s="62" t="s">
        <v>32</v>
      </c>
      <c r="F139" s="63">
        <v>3983</v>
      </c>
      <c r="G139" s="64">
        <v>144</v>
      </c>
    </row>
    <row r="140" spans="3:7">
      <c r="C140" s="62" t="s">
        <v>17</v>
      </c>
      <c r="D140" s="62" t="s">
        <v>13</v>
      </c>
      <c r="E140" s="62" t="s">
        <v>52</v>
      </c>
      <c r="F140" s="63">
        <v>2429</v>
      </c>
      <c r="G140" s="64">
        <v>144</v>
      </c>
    </row>
    <row r="141" spans="3:7">
      <c r="C141" s="62" t="s">
        <v>20</v>
      </c>
      <c r="D141" s="62" t="s">
        <v>49</v>
      </c>
      <c r="E141" s="62" t="s">
        <v>36</v>
      </c>
      <c r="F141" s="63">
        <v>336</v>
      </c>
      <c r="G141" s="64">
        <v>144</v>
      </c>
    </row>
    <row r="142" spans="3:7">
      <c r="C142" s="62" t="s">
        <v>54</v>
      </c>
      <c r="D142" s="62" t="s">
        <v>33</v>
      </c>
      <c r="E142" s="62" t="s">
        <v>36</v>
      </c>
      <c r="F142" s="63">
        <v>2205</v>
      </c>
      <c r="G142" s="64">
        <v>141</v>
      </c>
    </row>
    <row r="143" spans="3:7">
      <c r="C143" s="62" t="s">
        <v>45</v>
      </c>
      <c r="D143" s="62" t="s">
        <v>26</v>
      </c>
      <c r="E143" s="62" t="s">
        <v>36</v>
      </c>
      <c r="F143" s="63">
        <v>1568</v>
      </c>
      <c r="G143" s="64">
        <v>141</v>
      </c>
    </row>
    <row r="144" spans="3:7">
      <c r="C144" s="62" t="s">
        <v>45</v>
      </c>
      <c r="D144" s="62" t="s">
        <v>8</v>
      </c>
      <c r="E144" s="62" t="s">
        <v>22</v>
      </c>
      <c r="F144" s="63">
        <v>11571</v>
      </c>
      <c r="G144" s="64">
        <v>138</v>
      </c>
    </row>
    <row r="145" spans="3:7">
      <c r="C145" s="62" t="s">
        <v>39</v>
      </c>
      <c r="D145" s="62" t="s">
        <v>49</v>
      </c>
      <c r="E145" s="62" t="s">
        <v>41</v>
      </c>
      <c r="F145" s="63">
        <v>2205</v>
      </c>
      <c r="G145" s="64">
        <v>138</v>
      </c>
    </row>
    <row r="146" spans="3:7">
      <c r="C146" s="62" t="s">
        <v>7</v>
      </c>
      <c r="D146" s="62" t="s">
        <v>49</v>
      </c>
      <c r="E146" s="62" t="s">
        <v>52</v>
      </c>
      <c r="F146" s="63">
        <v>2289</v>
      </c>
      <c r="G146" s="64">
        <v>135</v>
      </c>
    </row>
    <row r="147" spans="3:7">
      <c r="C147" s="62" t="s">
        <v>25</v>
      </c>
      <c r="D147" s="62" t="s">
        <v>21</v>
      </c>
      <c r="E147" s="62" t="s">
        <v>51</v>
      </c>
      <c r="F147" s="63">
        <v>1400</v>
      </c>
      <c r="G147" s="64">
        <v>135</v>
      </c>
    </row>
    <row r="148" spans="3:7">
      <c r="C148" s="62" t="s">
        <v>25</v>
      </c>
      <c r="D148" s="62" t="s">
        <v>33</v>
      </c>
      <c r="E148" s="62" t="s">
        <v>30</v>
      </c>
      <c r="F148" s="63">
        <v>959</v>
      </c>
      <c r="G148" s="64">
        <v>135</v>
      </c>
    </row>
    <row r="149" spans="3:7">
      <c r="C149" s="62" t="s">
        <v>7</v>
      </c>
      <c r="D149" s="62" t="s">
        <v>26</v>
      </c>
      <c r="E149" s="62" t="s">
        <v>51</v>
      </c>
      <c r="F149" s="63">
        <v>0</v>
      </c>
      <c r="G149" s="64">
        <v>135</v>
      </c>
    </row>
    <row r="150" spans="3:7">
      <c r="C150" s="62" t="s">
        <v>20</v>
      </c>
      <c r="D150" s="62" t="s">
        <v>13</v>
      </c>
      <c r="E150" s="62" t="s">
        <v>52</v>
      </c>
      <c r="F150" s="63">
        <v>847</v>
      </c>
      <c r="G150" s="64">
        <v>129</v>
      </c>
    </row>
    <row r="151" spans="3:7">
      <c r="C151" s="62" t="s">
        <v>54</v>
      </c>
      <c r="D151" s="62" t="s">
        <v>33</v>
      </c>
      <c r="E151" s="62" t="s">
        <v>18</v>
      </c>
      <c r="F151" s="63">
        <v>6860</v>
      </c>
      <c r="G151" s="64">
        <v>126</v>
      </c>
    </row>
    <row r="152" spans="3:7">
      <c r="C152" s="62" t="s">
        <v>20</v>
      </c>
      <c r="D152" s="62" t="s">
        <v>49</v>
      </c>
      <c r="E152" s="62" t="s">
        <v>47</v>
      </c>
      <c r="F152" s="63">
        <v>4935</v>
      </c>
      <c r="G152" s="64">
        <v>126</v>
      </c>
    </row>
    <row r="153" spans="3:7">
      <c r="C153" s="62" t="s">
        <v>45</v>
      </c>
      <c r="D153" s="62" t="s">
        <v>26</v>
      </c>
      <c r="E153" s="62" t="s">
        <v>30</v>
      </c>
      <c r="F153" s="63">
        <v>4018</v>
      </c>
      <c r="G153" s="64">
        <v>126</v>
      </c>
    </row>
    <row r="154" spans="3:7">
      <c r="C154" s="62" t="s">
        <v>7</v>
      </c>
      <c r="D154" s="62" t="s">
        <v>13</v>
      </c>
      <c r="E154" s="62" t="s">
        <v>51</v>
      </c>
      <c r="F154" s="63">
        <v>1617</v>
      </c>
      <c r="G154" s="64">
        <v>126</v>
      </c>
    </row>
    <row r="155" spans="3:7">
      <c r="C155" s="62" t="s">
        <v>12</v>
      </c>
      <c r="D155" s="62" t="s">
        <v>13</v>
      </c>
      <c r="E155" s="62" t="s">
        <v>30</v>
      </c>
      <c r="F155" s="63">
        <v>357</v>
      </c>
      <c r="G155" s="64">
        <v>126</v>
      </c>
    </row>
    <row r="156" spans="3:7">
      <c r="C156" s="62" t="s">
        <v>25</v>
      </c>
      <c r="D156" s="62" t="s">
        <v>49</v>
      </c>
      <c r="E156" s="62" t="s">
        <v>14</v>
      </c>
      <c r="F156" s="63">
        <v>6734</v>
      </c>
      <c r="G156" s="64">
        <v>123</v>
      </c>
    </row>
    <row r="157" spans="3:7">
      <c r="C157" s="62" t="s">
        <v>25</v>
      </c>
      <c r="D157" s="62" t="s">
        <v>13</v>
      </c>
      <c r="E157" s="62" t="s">
        <v>9</v>
      </c>
      <c r="F157" s="63">
        <v>4781</v>
      </c>
      <c r="G157" s="64">
        <v>123</v>
      </c>
    </row>
    <row r="158" spans="3:7">
      <c r="C158" s="62" t="s">
        <v>20</v>
      </c>
      <c r="D158" s="62" t="s">
        <v>8</v>
      </c>
      <c r="E158" s="62" t="s">
        <v>41</v>
      </c>
      <c r="F158" s="63">
        <v>3388</v>
      </c>
      <c r="G158" s="64">
        <v>123</v>
      </c>
    </row>
    <row r="159" spans="3:7">
      <c r="C159" s="62" t="s">
        <v>25</v>
      </c>
      <c r="D159" s="62" t="s">
        <v>33</v>
      </c>
      <c r="E159" s="62" t="s">
        <v>11</v>
      </c>
      <c r="F159" s="63">
        <v>2317</v>
      </c>
      <c r="G159" s="64">
        <v>123</v>
      </c>
    </row>
    <row r="160" spans="3:7">
      <c r="C160" s="62" t="s">
        <v>54</v>
      </c>
      <c r="D160" s="62" t="s">
        <v>33</v>
      </c>
      <c r="E160" s="62" t="s">
        <v>11</v>
      </c>
      <c r="F160" s="63">
        <v>63</v>
      </c>
      <c r="G160" s="64">
        <v>123</v>
      </c>
    </row>
    <row r="161" spans="3:7">
      <c r="C161" s="62" t="s">
        <v>25</v>
      </c>
      <c r="D161" s="62" t="s">
        <v>21</v>
      </c>
      <c r="E161" s="62" t="s">
        <v>18</v>
      </c>
      <c r="F161" s="63">
        <v>10073</v>
      </c>
      <c r="G161" s="64">
        <v>120</v>
      </c>
    </row>
    <row r="162" spans="3:7">
      <c r="C162" s="62" t="s">
        <v>45</v>
      </c>
      <c r="D162" s="62" t="s">
        <v>49</v>
      </c>
      <c r="E162" s="62" t="s">
        <v>38</v>
      </c>
      <c r="F162" s="63">
        <v>7511</v>
      </c>
      <c r="G162" s="64">
        <v>120</v>
      </c>
    </row>
    <row r="163" spans="3:7">
      <c r="C163" s="62" t="s">
        <v>17</v>
      </c>
      <c r="D163" s="62" t="s">
        <v>33</v>
      </c>
      <c r="E163" s="62" t="s">
        <v>29</v>
      </c>
      <c r="F163" s="63">
        <v>2646</v>
      </c>
      <c r="G163" s="64">
        <v>120</v>
      </c>
    </row>
    <row r="164" spans="3:7">
      <c r="C164" s="62" t="s">
        <v>46</v>
      </c>
      <c r="D164" s="62" t="s">
        <v>49</v>
      </c>
      <c r="E164" s="62" t="s">
        <v>47</v>
      </c>
      <c r="F164" s="63">
        <v>2212</v>
      </c>
      <c r="G164" s="64">
        <v>117</v>
      </c>
    </row>
    <row r="165" spans="3:7">
      <c r="C165" s="62" t="s">
        <v>39</v>
      </c>
      <c r="D165" s="62" t="s">
        <v>21</v>
      </c>
      <c r="E165" s="62" t="s">
        <v>34</v>
      </c>
      <c r="F165" s="63">
        <v>2149</v>
      </c>
      <c r="G165" s="64">
        <v>117</v>
      </c>
    </row>
    <row r="166" spans="3:7">
      <c r="C166" s="62" t="s">
        <v>45</v>
      </c>
      <c r="D166" s="62" t="s">
        <v>26</v>
      </c>
      <c r="E166" s="62" t="s">
        <v>29</v>
      </c>
      <c r="F166" s="63">
        <v>2016</v>
      </c>
      <c r="G166" s="64">
        <v>117</v>
      </c>
    </row>
    <row r="167" spans="3:7">
      <c r="C167" s="62" t="s">
        <v>39</v>
      </c>
      <c r="D167" s="62" t="s">
        <v>13</v>
      </c>
      <c r="E167" s="62" t="s">
        <v>48</v>
      </c>
      <c r="F167" s="63">
        <v>2793</v>
      </c>
      <c r="G167" s="64">
        <v>114</v>
      </c>
    </row>
    <row r="168" spans="3:7">
      <c r="C168" s="62" t="s">
        <v>17</v>
      </c>
      <c r="D168" s="62" t="s">
        <v>21</v>
      </c>
      <c r="E168" s="62" t="s">
        <v>27</v>
      </c>
      <c r="F168" s="63">
        <v>2142</v>
      </c>
      <c r="G168" s="64">
        <v>114</v>
      </c>
    </row>
    <row r="169" spans="3:7">
      <c r="C169" s="62" t="s">
        <v>7</v>
      </c>
      <c r="D169" s="62" t="s">
        <v>8</v>
      </c>
      <c r="E169" s="62" t="s">
        <v>9</v>
      </c>
      <c r="F169" s="63">
        <v>1624</v>
      </c>
      <c r="G169" s="64">
        <v>114</v>
      </c>
    </row>
    <row r="170" spans="3:7">
      <c r="C170" s="62" t="s">
        <v>39</v>
      </c>
      <c r="D170" s="62" t="s">
        <v>8</v>
      </c>
      <c r="E170" s="62" t="s">
        <v>32</v>
      </c>
      <c r="F170" s="63">
        <v>4487</v>
      </c>
      <c r="G170" s="64">
        <v>111</v>
      </c>
    </row>
    <row r="171" spans="3:7">
      <c r="C171" s="62" t="s">
        <v>42</v>
      </c>
      <c r="D171" s="62" t="s">
        <v>21</v>
      </c>
      <c r="E171" s="62" t="s">
        <v>9</v>
      </c>
      <c r="F171" s="63">
        <v>1526</v>
      </c>
      <c r="G171" s="64">
        <v>105</v>
      </c>
    </row>
    <row r="172" spans="3:7">
      <c r="C172" s="62" t="s">
        <v>20</v>
      </c>
      <c r="D172" s="62" t="s">
        <v>8</v>
      </c>
      <c r="E172" s="62" t="s">
        <v>48</v>
      </c>
      <c r="F172" s="63">
        <v>6398</v>
      </c>
      <c r="G172" s="64">
        <v>102</v>
      </c>
    </row>
    <row r="173" spans="3:7">
      <c r="C173" s="62" t="s">
        <v>7</v>
      </c>
      <c r="D173" s="62" t="s">
        <v>33</v>
      </c>
      <c r="E173" s="62" t="s">
        <v>18</v>
      </c>
      <c r="F173" s="63">
        <v>6125</v>
      </c>
      <c r="G173" s="64">
        <v>102</v>
      </c>
    </row>
    <row r="174" spans="3:7">
      <c r="C174" s="62" t="s">
        <v>17</v>
      </c>
      <c r="D174" s="62" t="s">
        <v>33</v>
      </c>
      <c r="E174" s="62" t="s">
        <v>27</v>
      </c>
      <c r="F174" s="63">
        <v>3850</v>
      </c>
      <c r="G174" s="64">
        <v>102</v>
      </c>
    </row>
    <row r="175" spans="3:7">
      <c r="C175" s="62" t="s">
        <v>42</v>
      </c>
      <c r="D175" s="62" t="s">
        <v>49</v>
      </c>
      <c r="E175" s="62" t="s">
        <v>51</v>
      </c>
      <c r="F175" s="63">
        <v>2891</v>
      </c>
      <c r="G175" s="64">
        <v>102</v>
      </c>
    </row>
    <row r="176" spans="3:7">
      <c r="C176" s="62" t="s">
        <v>46</v>
      </c>
      <c r="D176" s="62" t="s">
        <v>26</v>
      </c>
      <c r="E176" s="62" t="s">
        <v>53</v>
      </c>
      <c r="F176" s="63">
        <v>1652</v>
      </c>
      <c r="G176" s="64">
        <v>102</v>
      </c>
    </row>
    <row r="177" spans="3:7">
      <c r="C177" s="62" t="s">
        <v>25</v>
      </c>
      <c r="D177" s="62" t="s">
        <v>8</v>
      </c>
      <c r="E177" s="62" t="s">
        <v>22</v>
      </c>
      <c r="F177" s="63">
        <v>1505</v>
      </c>
      <c r="G177" s="64">
        <v>102</v>
      </c>
    </row>
    <row r="178" spans="3:7">
      <c r="C178" s="62" t="s">
        <v>17</v>
      </c>
      <c r="D178" s="62" t="s">
        <v>33</v>
      </c>
      <c r="E178" s="62" t="s">
        <v>50</v>
      </c>
      <c r="F178" s="63">
        <v>2436</v>
      </c>
      <c r="G178" s="64">
        <v>99</v>
      </c>
    </row>
    <row r="179" spans="3:7">
      <c r="C179" s="62" t="s">
        <v>20</v>
      </c>
      <c r="D179" s="62" t="s">
        <v>13</v>
      </c>
      <c r="E179" s="62" t="s">
        <v>38</v>
      </c>
      <c r="F179" s="63">
        <v>609</v>
      </c>
      <c r="G179" s="64">
        <v>99</v>
      </c>
    </row>
    <row r="180" spans="3:7">
      <c r="C180" s="62" t="s">
        <v>17</v>
      </c>
      <c r="D180" s="62" t="s">
        <v>8</v>
      </c>
      <c r="E180" s="62" t="s">
        <v>41</v>
      </c>
      <c r="F180" s="63">
        <v>7273</v>
      </c>
      <c r="G180" s="64">
        <v>96</v>
      </c>
    </row>
    <row r="181" spans="3:7">
      <c r="C181" s="62" t="s">
        <v>54</v>
      </c>
      <c r="D181" s="62" t="s">
        <v>13</v>
      </c>
      <c r="E181" s="62" t="s">
        <v>16</v>
      </c>
      <c r="F181" s="63">
        <v>3472</v>
      </c>
      <c r="G181" s="64">
        <v>96</v>
      </c>
    </row>
    <row r="182" spans="3:7">
      <c r="C182" s="62" t="s">
        <v>39</v>
      </c>
      <c r="D182" s="62" t="s">
        <v>49</v>
      </c>
      <c r="E182" s="62" t="s">
        <v>27</v>
      </c>
      <c r="F182" s="63">
        <v>1568</v>
      </c>
      <c r="G182" s="64">
        <v>96</v>
      </c>
    </row>
    <row r="183" spans="3:7">
      <c r="C183" s="62" t="s">
        <v>7</v>
      </c>
      <c r="D183" s="62" t="s">
        <v>8</v>
      </c>
      <c r="E183" s="62" t="s">
        <v>52</v>
      </c>
      <c r="F183" s="63">
        <v>6132</v>
      </c>
      <c r="G183" s="64">
        <v>93</v>
      </c>
    </row>
    <row r="184" spans="3:7">
      <c r="C184" s="62" t="s">
        <v>46</v>
      </c>
      <c r="D184" s="62" t="s">
        <v>49</v>
      </c>
      <c r="E184" s="62" t="s">
        <v>32</v>
      </c>
      <c r="F184" s="63">
        <v>2919</v>
      </c>
      <c r="G184" s="64">
        <v>93</v>
      </c>
    </row>
    <row r="185" spans="3:7">
      <c r="C185" s="62" t="s">
        <v>17</v>
      </c>
      <c r="D185" s="62" t="s">
        <v>8</v>
      </c>
      <c r="E185" s="62" t="s">
        <v>47</v>
      </c>
      <c r="F185" s="63">
        <v>2737</v>
      </c>
      <c r="G185" s="64">
        <v>93</v>
      </c>
    </row>
    <row r="186" spans="3:7">
      <c r="C186" s="62" t="s">
        <v>42</v>
      </c>
      <c r="D186" s="62" t="s">
        <v>49</v>
      </c>
      <c r="E186" s="62" t="s">
        <v>30</v>
      </c>
      <c r="F186" s="63">
        <v>1652</v>
      </c>
      <c r="G186" s="64">
        <v>93</v>
      </c>
    </row>
    <row r="187" spans="3:7">
      <c r="C187" s="62" t="s">
        <v>54</v>
      </c>
      <c r="D187" s="62" t="s">
        <v>49</v>
      </c>
      <c r="E187" s="62" t="s">
        <v>27</v>
      </c>
      <c r="F187" s="63">
        <v>1428</v>
      </c>
      <c r="G187" s="64">
        <v>93</v>
      </c>
    </row>
    <row r="188" spans="3:7">
      <c r="C188" s="62" t="s">
        <v>7</v>
      </c>
      <c r="D188" s="62" t="s">
        <v>21</v>
      </c>
      <c r="E188" s="62" t="s">
        <v>30</v>
      </c>
      <c r="F188" s="63">
        <v>9772</v>
      </c>
      <c r="G188" s="64">
        <v>90</v>
      </c>
    </row>
    <row r="189" spans="3:7">
      <c r="C189" s="62" t="s">
        <v>17</v>
      </c>
      <c r="D189" s="62" t="s">
        <v>49</v>
      </c>
      <c r="E189" s="62" t="s">
        <v>47</v>
      </c>
      <c r="F189" s="63">
        <v>8155</v>
      </c>
      <c r="G189" s="64">
        <v>90</v>
      </c>
    </row>
    <row r="190" spans="3:7">
      <c r="C190" s="62" t="s">
        <v>7</v>
      </c>
      <c r="D190" s="62" t="s">
        <v>33</v>
      </c>
      <c r="E190" s="62" t="s">
        <v>27</v>
      </c>
      <c r="F190" s="63">
        <v>2541</v>
      </c>
      <c r="G190" s="64">
        <v>90</v>
      </c>
    </row>
    <row r="191" spans="3:7">
      <c r="C191" s="62" t="s">
        <v>17</v>
      </c>
      <c r="D191" s="62" t="s">
        <v>33</v>
      </c>
      <c r="E191" s="62" t="s">
        <v>30</v>
      </c>
      <c r="F191" s="63">
        <v>9506</v>
      </c>
      <c r="G191" s="64">
        <v>87</v>
      </c>
    </row>
    <row r="192" spans="3:7">
      <c r="C192" s="62" t="s">
        <v>25</v>
      </c>
      <c r="D192" s="62" t="s">
        <v>8</v>
      </c>
      <c r="E192" s="62" t="s">
        <v>34</v>
      </c>
      <c r="F192" s="63">
        <v>7693</v>
      </c>
      <c r="G192" s="64">
        <v>87</v>
      </c>
    </row>
    <row r="193" spans="3:7">
      <c r="C193" s="62" t="s">
        <v>54</v>
      </c>
      <c r="D193" s="62" t="s">
        <v>49</v>
      </c>
      <c r="E193" s="62" t="s">
        <v>32</v>
      </c>
      <c r="F193" s="63">
        <v>700</v>
      </c>
      <c r="G193" s="64">
        <v>87</v>
      </c>
    </row>
    <row r="194" spans="3:7">
      <c r="C194" s="62" t="s">
        <v>7</v>
      </c>
      <c r="D194" s="62" t="s">
        <v>33</v>
      </c>
      <c r="E194" s="62" t="s">
        <v>50</v>
      </c>
      <c r="F194" s="63">
        <v>609</v>
      </c>
      <c r="G194" s="64">
        <v>87</v>
      </c>
    </row>
    <row r="195" spans="3:7">
      <c r="C195" s="62" t="s">
        <v>12</v>
      </c>
      <c r="D195" s="62" t="s">
        <v>8</v>
      </c>
      <c r="E195" s="62" t="s">
        <v>44</v>
      </c>
      <c r="F195" s="63">
        <v>434</v>
      </c>
      <c r="G195" s="64">
        <v>87</v>
      </c>
    </row>
    <row r="196" spans="3:7">
      <c r="C196" s="62" t="s">
        <v>39</v>
      </c>
      <c r="D196" s="62" t="s">
        <v>21</v>
      </c>
      <c r="E196" s="62" t="s">
        <v>14</v>
      </c>
      <c r="F196" s="63">
        <v>280</v>
      </c>
      <c r="G196" s="64">
        <v>87</v>
      </c>
    </row>
    <row r="197" spans="3:7">
      <c r="C197" s="62" t="s">
        <v>20</v>
      </c>
      <c r="D197" s="62" t="s">
        <v>21</v>
      </c>
      <c r="E197" s="62" t="s">
        <v>14</v>
      </c>
      <c r="F197" s="63">
        <v>10304</v>
      </c>
      <c r="G197" s="64">
        <v>84</v>
      </c>
    </row>
    <row r="198" spans="3:7">
      <c r="C198" s="62" t="s">
        <v>42</v>
      </c>
      <c r="D198" s="62" t="s">
        <v>13</v>
      </c>
      <c r="E198" s="62" t="s">
        <v>36</v>
      </c>
      <c r="F198" s="63">
        <v>490</v>
      </c>
      <c r="G198" s="64">
        <v>84</v>
      </c>
    </row>
    <row r="199" spans="3:7">
      <c r="C199" s="62" t="s">
        <v>12</v>
      </c>
      <c r="D199" s="62" t="s">
        <v>33</v>
      </c>
      <c r="E199" s="62" t="s">
        <v>36</v>
      </c>
      <c r="F199" s="63">
        <v>168</v>
      </c>
      <c r="G199" s="64">
        <v>84</v>
      </c>
    </row>
    <row r="200" spans="3:7">
      <c r="C200" s="62" t="s">
        <v>45</v>
      </c>
      <c r="D200" s="62" t="s">
        <v>26</v>
      </c>
      <c r="E200" s="62" t="s">
        <v>52</v>
      </c>
      <c r="F200" s="63">
        <v>7812</v>
      </c>
      <c r="G200" s="64">
        <v>81</v>
      </c>
    </row>
    <row r="201" spans="3:7">
      <c r="C201" s="62" t="s">
        <v>42</v>
      </c>
      <c r="D201" s="62" t="s">
        <v>26</v>
      </c>
      <c r="E201" s="62" t="s">
        <v>36</v>
      </c>
      <c r="F201" s="63">
        <v>6909</v>
      </c>
      <c r="G201" s="64">
        <v>81</v>
      </c>
    </row>
    <row r="202" spans="3:7">
      <c r="C202" s="62" t="s">
        <v>12</v>
      </c>
      <c r="D202" s="62" t="s">
        <v>13</v>
      </c>
      <c r="E202" s="62" t="s">
        <v>9</v>
      </c>
      <c r="F202" s="63">
        <v>3598</v>
      </c>
      <c r="G202" s="64">
        <v>81</v>
      </c>
    </row>
    <row r="203" spans="3:7">
      <c r="C203" s="62" t="s">
        <v>25</v>
      </c>
      <c r="D203" s="62" t="s">
        <v>8</v>
      </c>
      <c r="E203" s="62" t="s">
        <v>9</v>
      </c>
      <c r="F203" s="63">
        <v>560</v>
      </c>
      <c r="G203" s="64">
        <v>81</v>
      </c>
    </row>
    <row r="204" spans="3:7">
      <c r="C204" s="62" t="s">
        <v>12</v>
      </c>
      <c r="D204" s="62" t="s">
        <v>33</v>
      </c>
      <c r="E204" s="62" t="s">
        <v>44</v>
      </c>
      <c r="F204" s="63">
        <v>6433</v>
      </c>
      <c r="G204" s="64">
        <v>78</v>
      </c>
    </row>
    <row r="205" spans="3:7">
      <c r="C205" s="62" t="s">
        <v>46</v>
      </c>
      <c r="D205" s="62" t="s">
        <v>13</v>
      </c>
      <c r="E205" s="62" t="s">
        <v>47</v>
      </c>
      <c r="F205" s="63">
        <v>2023</v>
      </c>
      <c r="G205" s="64">
        <v>78</v>
      </c>
    </row>
    <row r="206" spans="3:7">
      <c r="C206" s="62" t="s">
        <v>45</v>
      </c>
      <c r="D206" s="62" t="s">
        <v>21</v>
      </c>
      <c r="E206" s="62" t="s">
        <v>51</v>
      </c>
      <c r="F206" s="63">
        <v>8211</v>
      </c>
      <c r="G206" s="64">
        <v>75</v>
      </c>
    </row>
    <row r="207" spans="3:7">
      <c r="C207" s="62" t="s">
        <v>25</v>
      </c>
      <c r="D207" s="62" t="s">
        <v>49</v>
      </c>
      <c r="E207" s="62" t="s">
        <v>51</v>
      </c>
      <c r="F207" s="63">
        <v>3339</v>
      </c>
      <c r="G207" s="64">
        <v>75</v>
      </c>
    </row>
    <row r="208" spans="3:7">
      <c r="C208" s="62" t="s">
        <v>39</v>
      </c>
      <c r="D208" s="62" t="s">
        <v>49</v>
      </c>
      <c r="E208" s="62" t="s">
        <v>14</v>
      </c>
      <c r="F208" s="63">
        <v>3262</v>
      </c>
      <c r="G208" s="64">
        <v>75</v>
      </c>
    </row>
    <row r="209" spans="3:7">
      <c r="C209" s="62" t="s">
        <v>7</v>
      </c>
      <c r="D209" s="62" t="s">
        <v>49</v>
      </c>
      <c r="E209" s="62" t="s">
        <v>47</v>
      </c>
      <c r="F209" s="63">
        <v>2779</v>
      </c>
      <c r="G209" s="64">
        <v>75</v>
      </c>
    </row>
    <row r="210" spans="3:7">
      <c r="C210" s="62" t="s">
        <v>25</v>
      </c>
      <c r="D210" s="62" t="s">
        <v>49</v>
      </c>
      <c r="E210" s="62" t="s">
        <v>29</v>
      </c>
      <c r="F210" s="63">
        <v>2219</v>
      </c>
      <c r="G210" s="64">
        <v>75</v>
      </c>
    </row>
    <row r="211" spans="3:7">
      <c r="C211" s="62" t="s">
        <v>39</v>
      </c>
      <c r="D211" s="62" t="s">
        <v>33</v>
      </c>
      <c r="E211" s="62" t="s">
        <v>16</v>
      </c>
      <c r="F211" s="63">
        <v>1281</v>
      </c>
      <c r="G211" s="64">
        <v>75</v>
      </c>
    </row>
    <row r="212" spans="3:7">
      <c r="C212" s="62" t="s">
        <v>54</v>
      </c>
      <c r="D212" s="62" t="s">
        <v>21</v>
      </c>
      <c r="E212" s="62" t="s">
        <v>11</v>
      </c>
      <c r="F212" s="63">
        <v>945</v>
      </c>
      <c r="G212" s="64">
        <v>75</v>
      </c>
    </row>
    <row r="213" spans="3:7">
      <c r="C213" s="62" t="s">
        <v>42</v>
      </c>
      <c r="D213" s="62" t="s">
        <v>8</v>
      </c>
      <c r="E213" s="62" t="s">
        <v>36</v>
      </c>
      <c r="F213" s="63">
        <v>518</v>
      </c>
      <c r="G213" s="64">
        <v>75</v>
      </c>
    </row>
    <row r="214" spans="3:7">
      <c r="C214" s="62" t="s">
        <v>25</v>
      </c>
      <c r="D214" s="62" t="s">
        <v>33</v>
      </c>
      <c r="E214" s="62" t="s">
        <v>27</v>
      </c>
      <c r="F214" s="63">
        <v>469</v>
      </c>
      <c r="G214" s="64">
        <v>75</v>
      </c>
    </row>
    <row r="215" spans="3:7">
      <c r="C215" s="62" t="s">
        <v>7</v>
      </c>
      <c r="D215" s="62" t="s">
        <v>8</v>
      </c>
      <c r="E215" s="62" t="s">
        <v>51</v>
      </c>
      <c r="F215" s="63">
        <v>9002</v>
      </c>
      <c r="G215" s="64">
        <v>72</v>
      </c>
    </row>
    <row r="216" spans="3:7">
      <c r="C216" s="62" t="s">
        <v>20</v>
      </c>
      <c r="D216" s="62" t="s">
        <v>26</v>
      </c>
      <c r="E216" s="62" t="s">
        <v>16</v>
      </c>
      <c r="F216" s="63">
        <v>3976</v>
      </c>
      <c r="G216" s="64">
        <v>72</v>
      </c>
    </row>
    <row r="217" spans="3:7">
      <c r="C217" s="62" t="s">
        <v>17</v>
      </c>
      <c r="D217" s="62" t="s">
        <v>26</v>
      </c>
      <c r="E217" s="62" t="s">
        <v>27</v>
      </c>
      <c r="F217" s="63">
        <v>3192</v>
      </c>
      <c r="G217" s="64">
        <v>72</v>
      </c>
    </row>
    <row r="218" spans="3:7">
      <c r="C218" s="62" t="s">
        <v>54</v>
      </c>
      <c r="D218" s="62" t="s">
        <v>21</v>
      </c>
      <c r="E218" s="62" t="s">
        <v>52</v>
      </c>
      <c r="F218" s="63">
        <v>1407</v>
      </c>
      <c r="G218" s="64">
        <v>72</v>
      </c>
    </row>
    <row r="219" spans="3:7">
      <c r="C219" s="62" t="s">
        <v>20</v>
      </c>
      <c r="D219" s="62" t="s">
        <v>13</v>
      </c>
      <c r="E219" s="62" t="s">
        <v>11</v>
      </c>
      <c r="F219" s="63">
        <v>4760</v>
      </c>
      <c r="G219" s="64">
        <v>69</v>
      </c>
    </row>
    <row r="220" spans="3:7">
      <c r="C220" s="62" t="s">
        <v>46</v>
      </c>
      <c r="D220" s="62" t="s">
        <v>13</v>
      </c>
      <c r="E220" s="62" t="s">
        <v>51</v>
      </c>
      <c r="F220" s="63">
        <v>2114</v>
      </c>
      <c r="G220" s="64">
        <v>66</v>
      </c>
    </row>
    <row r="221" spans="3:7">
      <c r="C221" s="62" t="s">
        <v>42</v>
      </c>
      <c r="D221" s="62" t="s">
        <v>21</v>
      </c>
      <c r="E221" s="62" t="s">
        <v>11</v>
      </c>
      <c r="F221" s="63">
        <v>6146</v>
      </c>
      <c r="G221" s="64">
        <v>63</v>
      </c>
    </row>
    <row r="222" spans="3:7">
      <c r="C222" s="62" t="s">
        <v>39</v>
      </c>
      <c r="D222" s="62" t="s">
        <v>13</v>
      </c>
      <c r="E222" s="62" t="s">
        <v>16</v>
      </c>
      <c r="F222" s="63">
        <v>4606</v>
      </c>
      <c r="G222" s="64">
        <v>63</v>
      </c>
    </row>
    <row r="223" spans="3:7">
      <c r="C223" s="62" t="s">
        <v>12</v>
      </c>
      <c r="D223" s="62" t="s">
        <v>33</v>
      </c>
      <c r="E223" s="62" t="s">
        <v>52</v>
      </c>
      <c r="F223" s="63">
        <v>2268</v>
      </c>
      <c r="G223" s="64">
        <v>63</v>
      </c>
    </row>
    <row r="224" spans="3:7">
      <c r="C224" s="62" t="s">
        <v>25</v>
      </c>
      <c r="D224" s="62" t="s">
        <v>26</v>
      </c>
      <c r="E224" s="62" t="s">
        <v>9</v>
      </c>
      <c r="F224" s="63">
        <v>1638</v>
      </c>
      <c r="G224" s="64">
        <v>63</v>
      </c>
    </row>
    <row r="225" spans="3:7">
      <c r="C225" s="62" t="s">
        <v>25</v>
      </c>
      <c r="D225" s="62" t="s">
        <v>21</v>
      </c>
      <c r="E225" s="62" t="s">
        <v>44</v>
      </c>
      <c r="F225" s="63">
        <v>497</v>
      </c>
      <c r="G225" s="64">
        <v>63</v>
      </c>
    </row>
    <row r="226" spans="3:7">
      <c r="C226" s="62" t="s">
        <v>17</v>
      </c>
      <c r="D226" s="62" t="s">
        <v>33</v>
      </c>
      <c r="E226" s="62" t="s">
        <v>48</v>
      </c>
      <c r="F226" s="63">
        <v>4137</v>
      </c>
      <c r="G226" s="64">
        <v>60</v>
      </c>
    </row>
    <row r="227" spans="3:7">
      <c r="C227" s="62" t="s">
        <v>17</v>
      </c>
      <c r="D227" s="62" t="s">
        <v>21</v>
      </c>
      <c r="E227" s="62" t="s">
        <v>9</v>
      </c>
      <c r="F227" s="63">
        <v>9051</v>
      </c>
      <c r="G227" s="64">
        <v>57</v>
      </c>
    </row>
    <row r="228" spans="3:7">
      <c r="C228" s="62" t="s">
        <v>42</v>
      </c>
      <c r="D228" s="62" t="s">
        <v>33</v>
      </c>
      <c r="E228" s="62" t="s">
        <v>11</v>
      </c>
      <c r="F228" s="63">
        <v>7189</v>
      </c>
      <c r="G228" s="64">
        <v>54</v>
      </c>
    </row>
    <row r="229" spans="3:7">
      <c r="C229" s="62" t="s">
        <v>39</v>
      </c>
      <c r="D229" s="62" t="s">
        <v>8</v>
      </c>
      <c r="E229" s="62" t="s">
        <v>9</v>
      </c>
      <c r="F229" s="63">
        <v>6454</v>
      </c>
      <c r="G229" s="64">
        <v>54</v>
      </c>
    </row>
    <row r="230" spans="3:7">
      <c r="C230" s="62" t="s">
        <v>46</v>
      </c>
      <c r="D230" s="62" t="s">
        <v>49</v>
      </c>
      <c r="E230" s="62" t="s">
        <v>50</v>
      </c>
      <c r="F230" s="63">
        <v>3108</v>
      </c>
      <c r="G230" s="64">
        <v>54</v>
      </c>
    </row>
    <row r="231" spans="3:7">
      <c r="C231" s="62" t="s">
        <v>25</v>
      </c>
      <c r="D231" s="62" t="s">
        <v>33</v>
      </c>
      <c r="E231" s="62" t="s">
        <v>34</v>
      </c>
      <c r="F231" s="63">
        <v>2681</v>
      </c>
      <c r="G231" s="64">
        <v>54</v>
      </c>
    </row>
    <row r="232" spans="3:7">
      <c r="C232" s="62" t="s">
        <v>45</v>
      </c>
      <c r="D232" s="62" t="s">
        <v>8</v>
      </c>
      <c r="E232" s="62" t="s">
        <v>16</v>
      </c>
      <c r="F232" s="63">
        <v>1057</v>
      </c>
      <c r="G232" s="64">
        <v>54</v>
      </c>
    </row>
    <row r="233" spans="3:7">
      <c r="C233" s="62" t="s">
        <v>45</v>
      </c>
      <c r="D233" s="62" t="s">
        <v>49</v>
      </c>
      <c r="E233" s="62" t="s">
        <v>11</v>
      </c>
      <c r="F233" s="63">
        <v>252</v>
      </c>
      <c r="G233" s="64">
        <v>54</v>
      </c>
    </row>
    <row r="234" spans="3:7">
      <c r="C234" s="62" t="s">
        <v>42</v>
      </c>
      <c r="D234" s="62" t="s">
        <v>26</v>
      </c>
      <c r="E234" s="62" t="s">
        <v>50</v>
      </c>
      <c r="F234" s="63">
        <v>5236</v>
      </c>
      <c r="G234" s="64">
        <v>51</v>
      </c>
    </row>
    <row r="235" spans="3:7">
      <c r="C235" s="62" t="s">
        <v>46</v>
      </c>
      <c r="D235" s="62" t="s">
        <v>26</v>
      </c>
      <c r="E235" s="62" t="s">
        <v>51</v>
      </c>
      <c r="F235" s="63">
        <v>3640</v>
      </c>
      <c r="G235" s="64">
        <v>51</v>
      </c>
    </row>
    <row r="236" spans="3:7">
      <c r="C236" s="62" t="s">
        <v>7</v>
      </c>
      <c r="D236" s="62" t="s">
        <v>33</v>
      </c>
      <c r="E236" s="62" t="s">
        <v>48</v>
      </c>
      <c r="F236" s="63">
        <v>623</v>
      </c>
      <c r="G236" s="64">
        <v>51</v>
      </c>
    </row>
    <row r="237" spans="3:7">
      <c r="C237" s="62" t="s">
        <v>45</v>
      </c>
      <c r="D237" s="62" t="s">
        <v>33</v>
      </c>
      <c r="E237" s="62" t="s">
        <v>11</v>
      </c>
      <c r="F237" s="63">
        <v>56</v>
      </c>
      <c r="G237" s="64">
        <v>51</v>
      </c>
    </row>
    <row r="238" spans="3:7">
      <c r="C238" s="62" t="s">
        <v>7</v>
      </c>
      <c r="D238" s="62" t="s">
        <v>49</v>
      </c>
      <c r="E238" s="62" t="s">
        <v>50</v>
      </c>
      <c r="F238" s="63">
        <v>6748</v>
      </c>
      <c r="G238" s="64">
        <v>48</v>
      </c>
    </row>
    <row r="239" spans="3:7">
      <c r="C239" s="62" t="s">
        <v>39</v>
      </c>
      <c r="D239" s="62" t="s">
        <v>8</v>
      </c>
      <c r="E239" s="62" t="s">
        <v>30</v>
      </c>
      <c r="F239" s="63">
        <v>6391</v>
      </c>
      <c r="G239" s="64">
        <v>48</v>
      </c>
    </row>
    <row r="240" spans="3:7">
      <c r="C240" s="62" t="s">
        <v>39</v>
      </c>
      <c r="D240" s="62" t="s">
        <v>49</v>
      </c>
      <c r="E240" s="62" t="s">
        <v>30</v>
      </c>
      <c r="F240" s="63">
        <v>2226</v>
      </c>
      <c r="G240" s="64">
        <v>48</v>
      </c>
    </row>
    <row r="241" spans="3:7">
      <c r="C241" s="62" t="s">
        <v>7</v>
      </c>
      <c r="D241" s="62" t="s">
        <v>13</v>
      </c>
      <c r="E241" s="62" t="s">
        <v>48</v>
      </c>
      <c r="F241" s="63">
        <v>1638</v>
      </c>
      <c r="G241" s="64">
        <v>48</v>
      </c>
    </row>
    <row r="242" spans="3:7">
      <c r="C242" s="62" t="s">
        <v>25</v>
      </c>
      <c r="D242" s="62" t="s">
        <v>49</v>
      </c>
      <c r="E242" s="62" t="s">
        <v>18</v>
      </c>
      <c r="F242" s="63">
        <v>525</v>
      </c>
      <c r="G242" s="64">
        <v>48</v>
      </c>
    </row>
    <row r="243" spans="3:7">
      <c r="C243" s="62" t="s">
        <v>45</v>
      </c>
      <c r="D243" s="62" t="s">
        <v>21</v>
      </c>
      <c r="E243" s="62" t="s">
        <v>32</v>
      </c>
      <c r="F243" s="63">
        <v>189</v>
      </c>
      <c r="G243" s="64">
        <v>48</v>
      </c>
    </row>
    <row r="244" spans="3:7">
      <c r="C244" s="62" t="s">
        <v>42</v>
      </c>
      <c r="D244" s="62" t="s">
        <v>8</v>
      </c>
      <c r="E244" s="62" t="s">
        <v>34</v>
      </c>
      <c r="F244" s="63">
        <v>182</v>
      </c>
      <c r="G244" s="64">
        <v>48</v>
      </c>
    </row>
    <row r="245" spans="3:7">
      <c r="C245" s="62" t="s">
        <v>42</v>
      </c>
      <c r="D245" s="62" t="s">
        <v>33</v>
      </c>
      <c r="E245" s="62" t="s">
        <v>27</v>
      </c>
      <c r="F245" s="63">
        <v>7483</v>
      </c>
      <c r="G245" s="64">
        <v>45</v>
      </c>
    </row>
    <row r="246" spans="3:7">
      <c r="C246" s="62" t="s">
        <v>12</v>
      </c>
      <c r="D246" s="62" t="s">
        <v>8</v>
      </c>
      <c r="E246" s="62" t="s">
        <v>50</v>
      </c>
      <c r="F246" s="63">
        <v>6279</v>
      </c>
      <c r="G246" s="64">
        <v>45</v>
      </c>
    </row>
    <row r="247" spans="3:7">
      <c r="C247" s="62" t="s">
        <v>17</v>
      </c>
      <c r="D247" s="62" t="s">
        <v>8</v>
      </c>
      <c r="E247" s="62" t="s">
        <v>53</v>
      </c>
      <c r="F247" s="63">
        <v>2919</v>
      </c>
      <c r="G247" s="64">
        <v>45</v>
      </c>
    </row>
    <row r="248" spans="3:7">
      <c r="C248" s="62" t="s">
        <v>7</v>
      </c>
      <c r="D248" s="62" t="s">
        <v>33</v>
      </c>
      <c r="E248" s="62" t="s">
        <v>51</v>
      </c>
      <c r="F248" s="63">
        <v>2541</v>
      </c>
      <c r="G248" s="64">
        <v>45</v>
      </c>
    </row>
    <row r="249" spans="3:7">
      <c r="C249" s="62" t="s">
        <v>39</v>
      </c>
      <c r="D249" s="62" t="s">
        <v>21</v>
      </c>
      <c r="E249" s="62" t="s">
        <v>36</v>
      </c>
      <c r="F249" s="63">
        <v>8435</v>
      </c>
      <c r="G249" s="64">
        <v>42</v>
      </c>
    </row>
    <row r="250" spans="3:7">
      <c r="C250" s="62" t="s">
        <v>46</v>
      </c>
      <c r="D250" s="62" t="s">
        <v>49</v>
      </c>
      <c r="E250" s="62" t="s">
        <v>27</v>
      </c>
      <c r="F250" s="63">
        <v>6300</v>
      </c>
      <c r="G250" s="64">
        <v>42</v>
      </c>
    </row>
    <row r="251" spans="3:7">
      <c r="C251" s="62" t="s">
        <v>7</v>
      </c>
      <c r="D251" s="62" t="s">
        <v>26</v>
      </c>
      <c r="E251" s="62" t="s">
        <v>24</v>
      </c>
      <c r="F251" s="63">
        <v>5775</v>
      </c>
      <c r="G251" s="64">
        <v>42</v>
      </c>
    </row>
    <row r="252" spans="3:7">
      <c r="C252" s="62" t="s">
        <v>45</v>
      </c>
      <c r="D252" s="62" t="s">
        <v>8</v>
      </c>
      <c r="E252" s="62" t="s">
        <v>24</v>
      </c>
      <c r="F252" s="63">
        <v>2863</v>
      </c>
      <c r="G252" s="64">
        <v>42</v>
      </c>
    </row>
    <row r="253" spans="3:7">
      <c r="C253" s="62" t="s">
        <v>42</v>
      </c>
      <c r="D253" s="62" t="s">
        <v>21</v>
      </c>
      <c r="E253" s="62" t="s">
        <v>29</v>
      </c>
      <c r="F253" s="63">
        <v>16184</v>
      </c>
      <c r="G253" s="64">
        <v>39</v>
      </c>
    </row>
    <row r="254" spans="3:7">
      <c r="C254" s="62" t="s">
        <v>39</v>
      </c>
      <c r="D254" s="62" t="s">
        <v>49</v>
      </c>
      <c r="E254" s="62" t="s">
        <v>32</v>
      </c>
      <c r="F254" s="63">
        <v>7777</v>
      </c>
      <c r="G254" s="64">
        <v>39</v>
      </c>
    </row>
    <row r="255" spans="3:7">
      <c r="C255" s="62" t="s">
        <v>46</v>
      </c>
      <c r="D255" s="62" t="s">
        <v>21</v>
      </c>
      <c r="E255" s="62" t="s">
        <v>27</v>
      </c>
      <c r="F255" s="63">
        <v>3339</v>
      </c>
      <c r="G255" s="64">
        <v>39</v>
      </c>
    </row>
    <row r="256" spans="3:7">
      <c r="C256" s="62" t="s">
        <v>7</v>
      </c>
      <c r="D256" s="62" t="s">
        <v>33</v>
      </c>
      <c r="E256" s="62" t="s">
        <v>34</v>
      </c>
      <c r="F256" s="63">
        <v>1988</v>
      </c>
      <c r="G256" s="64">
        <v>39</v>
      </c>
    </row>
    <row r="257" spans="3:7">
      <c r="C257" s="62" t="s">
        <v>20</v>
      </c>
      <c r="D257" s="62" t="s">
        <v>49</v>
      </c>
      <c r="E257" s="62" t="s">
        <v>32</v>
      </c>
      <c r="F257" s="63">
        <v>1463</v>
      </c>
      <c r="G257" s="64">
        <v>39</v>
      </c>
    </row>
    <row r="258" spans="3:7">
      <c r="C258" s="62" t="s">
        <v>46</v>
      </c>
      <c r="D258" s="62" t="s">
        <v>21</v>
      </c>
      <c r="E258" s="62" t="s">
        <v>29</v>
      </c>
      <c r="F258" s="63">
        <v>9198</v>
      </c>
      <c r="G258" s="64">
        <v>36</v>
      </c>
    </row>
    <row r="259" spans="3:7">
      <c r="C259" s="62" t="s">
        <v>25</v>
      </c>
      <c r="D259" s="62" t="s">
        <v>33</v>
      </c>
      <c r="E259" s="62" t="s">
        <v>44</v>
      </c>
      <c r="F259" s="63">
        <v>7322</v>
      </c>
      <c r="G259" s="64">
        <v>36</v>
      </c>
    </row>
    <row r="260" spans="3:7">
      <c r="C260" s="62" t="s">
        <v>45</v>
      </c>
      <c r="D260" s="62" t="s">
        <v>26</v>
      </c>
      <c r="E260" s="62" t="s">
        <v>24</v>
      </c>
      <c r="F260" s="63">
        <v>4802</v>
      </c>
      <c r="G260" s="64">
        <v>36</v>
      </c>
    </row>
    <row r="261" spans="3:7">
      <c r="C261" s="62" t="s">
        <v>45</v>
      </c>
      <c r="D261" s="62" t="s">
        <v>26</v>
      </c>
      <c r="E261" s="62" t="s">
        <v>47</v>
      </c>
      <c r="F261" s="63">
        <v>630</v>
      </c>
      <c r="G261" s="64">
        <v>36</v>
      </c>
    </row>
    <row r="262" spans="3:7">
      <c r="C262" s="62" t="s">
        <v>7</v>
      </c>
      <c r="D262" s="62" t="s">
        <v>21</v>
      </c>
      <c r="E262" s="62" t="s">
        <v>18</v>
      </c>
      <c r="F262" s="63">
        <v>217</v>
      </c>
      <c r="G262" s="64">
        <v>36</v>
      </c>
    </row>
    <row r="263" spans="3:7">
      <c r="C263" s="62" t="s">
        <v>54</v>
      </c>
      <c r="D263" s="62" t="s">
        <v>26</v>
      </c>
      <c r="E263" s="62" t="s">
        <v>30</v>
      </c>
      <c r="F263" s="63">
        <v>12950</v>
      </c>
      <c r="G263" s="64">
        <v>30</v>
      </c>
    </row>
    <row r="264" spans="3:7">
      <c r="C264" s="62" t="s">
        <v>12</v>
      </c>
      <c r="D264" s="62" t="s">
        <v>8</v>
      </c>
      <c r="E264" s="62" t="s">
        <v>24</v>
      </c>
      <c r="F264" s="63">
        <v>9709</v>
      </c>
      <c r="G264" s="64">
        <v>30</v>
      </c>
    </row>
    <row r="265" spans="3:7">
      <c r="C265" s="62" t="s">
        <v>7</v>
      </c>
      <c r="D265" s="62" t="s">
        <v>26</v>
      </c>
      <c r="E265" s="62" t="s">
        <v>52</v>
      </c>
      <c r="F265" s="63">
        <v>6370</v>
      </c>
      <c r="G265" s="64">
        <v>30</v>
      </c>
    </row>
    <row r="266" spans="3:7">
      <c r="C266" s="62" t="s">
        <v>7</v>
      </c>
      <c r="D266" s="62" t="s">
        <v>21</v>
      </c>
      <c r="E266" s="62" t="s">
        <v>27</v>
      </c>
      <c r="F266" s="63">
        <v>5439</v>
      </c>
      <c r="G266" s="64">
        <v>30</v>
      </c>
    </row>
    <row r="267" spans="3:7">
      <c r="C267" s="62" t="s">
        <v>54</v>
      </c>
      <c r="D267" s="62" t="s">
        <v>8</v>
      </c>
      <c r="E267" s="62" t="s">
        <v>47</v>
      </c>
      <c r="F267" s="63">
        <v>4683</v>
      </c>
      <c r="G267" s="64">
        <v>30</v>
      </c>
    </row>
    <row r="268" spans="3:7">
      <c r="C268" s="62" t="s">
        <v>25</v>
      </c>
      <c r="D268" s="62" t="s">
        <v>21</v>
      </c>
      <c r="E268" s="62" t="s">
        <v>11</v>
      </c>
      <c r="F268" s="63">
        <v>4319</v>
      </c>
      <c r="G268" s="64">
        <v>30</v>
      </c>
    </row>
    <row r="269" spans="3:7">
      <c r="C269" s="62" t="s">
        <v>12</v>
      </c>
      <c r="D269" s="62" t="s">
        <v>26</v>
      </c>
      <c r="E269" s="62" t="s">
        <v>22</v>
      </c>
      <c r="F269" s="63">
        <v>9660</v>
      </c>
      <c r="G269" s="64">
        <v>27</v>
      </c>
    </row>
    <row r="270" spans="3:7">
      <c r="C270" s="62" t="s">
        <v>17</v>
      </c>
      <c r="D270" s="62" t="s">
        <v>49</v>
      </c>
      <c r="E270" s="62" t="s">
        <v>44</v>
      </c>
      <c r="F270" s="63">
        <v>6832</v>
      </c>
      <c r="G270" s="64">
        <v>27</v>
      </c>
    </row>
    <row r="271" spans="3:7">
      <c r="C271" s="62" t="s">
        <v>25</v>
      </c>
      <c r="D271" s="62" t="s">
        <v>26</v>
      </c>
      <c r="E271" s="62" t="s">
        <v>32</v>
      </c>
      <c r="F271" s="63">
        <v>6048</v>
      </c>
      <c r="G271" s="64">
        <v>27</v>
      </c>
    </row>
    <row r="272" spans="3:7">
      <c r="C272" s="62" t="s">
        <v>54</v>
      </c>
      <c r="D272" s="62" t="s">
        <v>8</v>
      </c>
      <c r="E272" s="62" t="s">
        <v>53</v>
      </c>
      <c r="F272" s="63">
        <v>3059</v>
      </c>
      <c r="G272" s="64">
        <v>27</v>
      </c>
    </row>
    <row r="273" spans="3:7">
      <c r="C273" s="62" t="s">
        <v>39</v>
      </c>
      <c r="D273" s="62" t="s">
        <v>13</v>
      </c>
      <c r="E273" s="62" t="s">
        <v>29</v>
      </c>
      <c r="F273" s="63">
        <v>2135</v>
      </c>
      <c r="G273" s="64">
        <v>27</v>
      </c>
    </row>
    <row r="274" spans="3:7">
      <c r="C274" s="62" t="s">
        <v>12</v>
      </c>
      <c r="D274" s="62" t="s">
        <v>26</v>
      </c>
      <c r="E274" s="62" t="s">
        <v>50</v>
      </c>
      <c r="F274" s="63">
        <v>1561</v>
      </c>
      <c r="G274" s="64">
        <v>27</v>
      </c>
    </row>
    <row r="275" spans="3:7">
      <c r="C275" s="62" t="s">
        <v>54</v>
      </c>
      <c r="D275" s="62" t="s">
        <v>49</v>
      </c>
      <c r="E275" s="62" t="s">
        <v>36</v>
      </c>
      <c r="F275" s="63">
        <v>4053</v>
      </c>
      <c r="G275" s="64">
        <v>24</v>
      </c>
    </row>
    <row r="276" spans="3:7">
      <c r="C276" s="62" t="s">
        <v>39</v>
      </c>
      <c r="D276" s="62" t="s">
        <v>49</v>
      </c>
      <c r="E276" s="62" t="s">
        <v>24</v>
      </c>
      <c r="F276" s="63">
        <v>3829</v>
      </c>
      <c r="G276" s="64">
        <v>24</v>
      </c>
    </row>
    <row r="277" spans="3:7">
      <c r="C277" s="62" t="s">
        <v>45</v>
      </c>
      <c r="D277" s="62" t="s">
        <v>21</v>
      </c>
      <c r="E277" s="62" t="s">
        <v>29</v>
      </c>
      <c r="F277" s="63">
        <v>11417</v>
      </c>
      <c r="G277" s="64">
        <v>21</v>
      </c>
    </row>
    <row r="278" spans="3:7">
      <c r="C278" s="62" t="s">
        <v>42</v>
      </c>
      <c r="D278" s="62" t="s">
        <v>8</v>
      </c>
      <c r="E278" s="62" t="s">
        <v>27</v>
      </c>
      <c r="F278" s="63">
        <v>8813</v>
      </c>
      <c r="G278" s="64">
        <v>21</v>
      </c>
    </row>
    <row r="279" spans="3:7">
      <c r="C279" s="62" t="s">
        <v>7</v>
      </c>
      <c r="D279" s="62" t="s">
        <v>8</v>
      </c>
      <c r="E279" s="62" t="s">
        <v>38</v>
      </c>
      <c r="F279" s="63">
        <v>7693</v>
      </c>
      <c r="G279" s="64">
        <v>21</v>
      </c>
    </row>
    <row r="280" spans="3:7">
      <c r="C280" s="62" t="s">
        <v>42</v>
      </c>
      <c r="D280" s="62" t="s">
        <v>49</v>
      </c>
      <c r="E280" s="62" t="s">
        <v>52</v>
      </c>
      <c r="F280" s="63">
        <v>6986</v>
      </c>
      <c r="G280" s="64">
        <v>21</v>
      </c>
    </row>
    <row r="281" spans="3:7">
      <c r="C281" s="62" t="s">
        <v>42</v>
      </c>
      <c r="D281" s="62" t="s">
        <v>33</v>
      </c>
      <c r="E281" s="62" t="s">
        <v>14</v>
      </c>
      <c r="F281" s="63">
        <v>5075</v>
      </c>
      <c r="G281" s="64">
        <v>21</v>
      </c>
    </row>
    <row r="282" spans="3:7">
      <c r="C282" s="62" t="s">
        <v>39</v>
      </c>
      <c r="D282" s="62" t="s">
        <v>13</v>
      </c>
      <c r="E282" s="62" t="s">
        <v>52</v>
      </c>
      <c r="F282" s="63">
        <v>2478</v>
      </c>
      <c r="G282" s="64">
        <v>21</v>
      </c>
    </row>
    <row r="283" spans="3:7">
      <c r="C283" s="62" t="s">
        <v>20</v>
      </c>
      <c r="D283" s="62" t="s">
        <v>33</v>
      </c>
      <c r="E283" s="62" t="s">
        <v>27</v>
      </c>
      <c r="F283" s="63">
        <v>154</v>
      </c>
      <c r="G283" s="64">
        <v>21</v>
      </c>
    </row>
    <row r="284" spans="3:7">
      <c r="C284" s="62" t="s">
        <v>46</v>
      </c>
      <c r="D284" s="62" t="s">
        <v>49</v>
      </c>
      <c r="E284" s="62" t="s">
        <v>41</v>
      </c>
      <c r="F284" s="63">
        <v>2583</v>
      </c>
      <c r="G284" s="64">
        <v>18</v>
      </c>
    </row>
    <row r="285" spans="3:7">
      <c r="C285" s="62" t="s">
        <v>46</v>
      </c>
      <c r="D285" s="62" t="s">
        <v>21</v>
      </c>
      <c r="E285" s="62" t="s">
        <v>38</v>
      </c>
      <c r="F285" s="63">
        <v>1281</v>
      </c>
      <c r="G285" s="64">
        <v>18</v>
      </c>
    </row>
    <row r="286" spans="3:7">
      <c r="C286" s="62" t="s">
        <v>45</v>
      </c>
      <c r="D286" s="62" t="s">
        <v>8</v>
      </c>
      <c r="E286" s="62" t="s">
        <v>38</v>
      </c>
      <c r="F286" s="63">
        <v>238</v>
      </c>
      <c r="G286" s="64">
        <v>18</v>
      </c>
    </row>
    <row r="287" spans="3:7">
      <c r="C287" s="62" t="s">
        <v>42</v>
      </c>
      <c r="D287" s="62" t="s">
        <v>21</v>
      </c>
      <c r="E287" s="62" t="s">
        <v>47</v>
      </c>
      <c r="F287" s="63">
        <v>6314</v>
      </c>
      <c r="G287" s="64">
        <v>15</v>
      </c>
    </row>
    <row r="288" spans="3:7">
      <c r="C288" s="62" t="s">
        <v>42</v>
      </c>
      <c r="D288" s="62" t="s">
        <v>13</v>
      </c>
      <c r="E288" s="62" t="s">
        <v>22</v>
      </c>
      <c r="F288" s="63">
        <v>2415</v>
      </c>
      <c r="G288" s="64">
        <v>15</v>
      </c>
    </row>
    <row r="289" spans="3:7">
      <c r="C289" s="62" t="s">
        <v>25</v>
      </c>
      <c r="D289" s="62" t="s">
        <v>49</v>
      </c>
      <c r="E289" s="62" t="s">
        <v>24</v>
      </c>
      <c r="F289" s="63">
        <v>1442</v>
      </c>
      <c r="G289" s="64">
        <v>15</v>
      </c>
    </row>
    <row r="290" spans="3:7">
      <c r="C290" s="62" t="s">
        <v>45</v>
      </c>
      <c r="D290" s="62" t="s">
        <v>13</v>
      </c>
      <c r="E290" s="62" t="s">
        <v>38</v>
      </c>
      <c r="F290" s="63">
        <v>553</v>
      </c>
      <c r="G290" s="64">
        <v>15</v>
      </c>
    </row>
    <row r="291" spans="3:7">
      <c r="C291" s="62" t="s">
        <v>7</v>
      </c>
      <c r="D291" s="62" t="s">
        <v>26</v>
      </c>
      <c r="E291" s="62" t="s">
        <v>36</v>
      </c>
      <c r="F291" s="63">
        <v>5817</v>
      </c>
      <c r="G291" s="64">
        <v>12</v>
      </c>
    </row>
    <row r="292" spans="3:7">
      <c r="C292" s="62" t="s">
        <v>42</v>
      </c>
      <c r="D292" s="62" t="s">
        <v>8</v>
      </c>
      <c r="E292" s="62" t="s">
        <v>16</v>
      </c>
      <c r="F292" s="63">
        <v>4991</v>
      </c>
      <c r="G292" s="64">
        <v>12</v>
      </c>
    </row>
    <row r="293" spans="3:7">
      <c r="C293" s="62" t="s">
        <v>25</v>
      </c>
      <c r="D293" s="62" t="s">
        <v>21</v>
      </c>
      <c r="E293" s="62" t="s">
        <v>14</v>
      </c>
      <c r="F293" s="63">
        <v>6118</v>
      </c>
      <c r="G293" s="64">
        <v>9</v>
      </c>
    </row>
    <row r="294" spans="3:7">
      <c r="C294" s="62" t="s">
        <v>54</v>
      </c>
      <c r="D294" s="62" t="s">
        <v>49</v>
      </c>
      <c r="E294" s="62" t="s">
        <v>50</v>
      </c>
      <c r="F294" s="63">
        <v>4991</v>
      </c>
      <c r="G294" s="64">
        <v>9</v>
      </c>
    </row>
    <row r="295" spans="3:7">
      <c r="C295" s="62" t="s">
        <v>20</v>
      </c>
      <c r="D295" s="62" t="s">
        <v>8</v>
      </c>
      <c r="E295" s="62" t="s">
        <v>44</v>
      </c>
      <c r="F295" s="63">
        <v>2933</v>
      </c>
      <c r="G295" s="64">
        <v>9</v>
      </c>
    </row>
    <row r="296" spans="3:7">
      <c r="C296" s="62" t="s">
        <v>42</v>
      </c>
      <c r="D296" s="62" t="s">
        <v>13</v>
      </c>
      <c r="E296" s="62" t="s">
        <v>18</v>
      </c>
      <c r="F296" s="63">
        <v>2744</v>
      </c>
      <c r="G296" s="64">
        <v>9</v>
      </c>
    </row>
    <row r="297" spans="3:7">
      <c r="C297" s="62" t="s">
        <v>17</v>
      </c>
      <c r="D297" s="62" t="s">
        <v>33</v>
      </c>
      <c r="E297" s="62" t="s">
        <v>32</v>
      </c>
      <c r="F297" s="63">
        <v>2408</v>
      </c>
      <c r="G297" s="64">
        <v>9</v>
      </c>
    </row>
    <row r="298" spans="3:7">
      <c r="C298" s="62" t="s">
        <v>25</v>
      </c>
      <c r="D298" s="62" t="s">
        <v>8</v>
      </c>
      <c r="E298" s="62" t="s">
        <v>50</v>
      </c>
      <c r="F298" s="63">
        <v>6818</v>
      </c>
      <c r="G298" s="64">
        <v>6</v>
      </c>
    </row>
    <row r="299" spans="3:7">
      <c r="C299" s="62" t="s">
        <v>54</v>
      </c>
      <c r="D299" s="62" t="s">
        <v>13</v>
      </c>
      <c r="E299" s="62" t="s">
        <v>24</v>
      </c>
      <c r="F299" s="63">
        <v>2562</v>
      </c>
      <c r="G299" s="64">
        <v>6</v>
      </c>
    </row>
    <row r="300" spans="3:7">
      <c r="C300" s="62" t="s">
        <v>25</v>
      </c>
      <c r="D300" s="62" t="s">
        <v>33</v>
      </c>
      <c r="E300" s="62" t="s">
        <v>29</v>
      </c>
      <c r="F300" s="63">
        <v>938</v>
      </c>
      <c r="G300" s="64">
        <v>6</v>
      </c>
    </row>
    <row r="301" spans="3:7">
      <c r="C301" s="62" t="s">
        <v>42</v>
      </c>
      <c r="D301" s="62" t="s">
        <v>21</v>
      </c>
      <c r="E301" s="62" t="s">
        <v>22</v>
      </c>
      <c r="F301" s="63">
        <v>6111</v>
      </c>
      <c r="G301" s="64">
        <v>3</v>
      </c>
    </row>
    <row r="302" spans="3:7">
      <c r="C302" s="62" t="s">
        <v>20</v>
      </c>
      <c r="D302" s="62" t="s">
        <v>33</v>
      </c>
      <c r="E302" s="62" t="s">
        <v>36</v>
      </c>
      <c r="F302" s="63">
        <v>5915</v>
      </c>
      <c r="G302" s="64">
        <v>3</v>
      </c>
    </row>
    <row r="303" spans="3:7">
      <c r="C303" s="62" t="s">
        <v>45</v>
      </c>
      <c r="D303" s="62" t="s">
        <v>33</v>
      </c>
      <c r="E303" s="62" t="s">
        <v>18</v>
      </c>
      <c r="F303" s="63">
        <v>3549</v>
      </c>
      <c r="G303" s="64">
        <v>3</v>
      </c>
    </row>
    <row r="304" spans="3:7">
      <c r="C304" s="62" t="s">
        <v>25</v>
      </c>
      <c r="D304" s="62" t="s">
        <v>26</v>
      </c>
      <c r="E304" s="62" t="s">
        <v>48</v>
      </c>
      <c r="F304" s="63">
        <v>2989</v>
      </c>
      <c r="G304" s="64">
        <v>3</v>
      </c>
    </row>
    <row r="305" spans="3:7">
      <c r="C305" s="62" t="s">
        <v>39</v>
      </c>
      <c r="D305" s="62" t="s">
        <v>8</v>
      </c>
      <c r="E305" s="62" t="s">
        <v>50</v>
      </c>
      <c r="F305" s="63">
        <v>5306</v>
      </c>
      <c r="G305" s="64">
        <v>0</v>
      </c>
    </row>
  </sheetData>
  <mergeCells count="1">
    <mergeCell ref="A1:N3"/>
  </mergeCells>
  <conditionalFormatting sqref="G6:G305">
    <cfRule type="duplicateValues" dxfId="264" priority="1"/>
    <cfRule type="duplicateValues" dxfId="263" priority="2"/>
  </conditionalFormatting>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2"/>
  <sheetViews>
    <sheetView workbookViewId="0">
      <selection activeCell="B6" sqref="B6"/>
    </sheetView>
  </sheetViews>
  <sheetFormatPr defaultColWidth="8.88671875" defaultRowHeight="14.4"/>
  <cols>
    <col min="1" max="1" width="8.88671875" style="1"/>
    <col min="2" max="2" width="14.6640625" style="1" customWidth="1"/>
    <col min="3" max="3" width="16.77734375" style="5" customWidth="1"/>
    <col min="4" max="5" width="12.77734375" style="1" customWidth="1"/>
    <col min="6" max="6" width="8.88671875" style="1"/>
    <col min="7" max="8" width="12.44140625" style="1" customWidth="1"/>
    <col min="9" max="9" width="12.33203125" style="1" customWidth="1"/>
    <col min="10" max="16384" width="8.88671875" style="1"/>
  </cols>
  <sheetData>
    <row r="1" spans="1:11">
      <c r="A1" s="116" t="s">
        <v>62</v>
      </c>
      <c r="B1" s="117"/>
      <c r="C1" s="118"/>
      <c r="D1" s="117"/>
      <c r="E1" s="117"/>
      <c r="F1" s="117"/>
      <c r="G1" s="117"/>
      <c r="H1" s="117"/>
      <c r="I1" s="117"/>
      <c r="J1" s="117"/>
      <c r="K1" s="117"/>
    </row>
    <row r="2" spans="1:11">
      <c r="A2" s="117"/>
      <c r="B2" s="117"/>
      <c r="C2" s="118"/>
      <c r="D2" s="117"/>
      <c r="E2" s="117"/>
      <c r="F2" s="117"/>
      <c r="G2" s="117"/>
      <c r="H2" s="117"/>
      <c r="I2" s="117"/>
      <c r="J2" s="117"/>
      <c r="K2" s="117"/>
    </row>
    <row r="3" spans="1:11">
      <c r="A3" s="117"/>
      <c r="B3" s="117"/>
      <c r="C3" s="118"/>
      <c r="D3" s="117"/>
      <c r="E3" s="117"/>
      <c r="F3" s="117"/>
      <c r="G3" s="117"/>
      <c r="H3" s="117"/>
      <c r="I3" s="117"/>
      <c r="J3" s="117"/>
      <c r="K3" s="117"/>
    </row>
    <row r="6" spans="1:11" ht="15" thickBot="1">
      <c r="B6" s="22" t="s">
        <v>63</v>
      </c>
      <c r="C6" s="22" t="s">
        <v>3</v>
      </c>
      <c r="E6" s="23" t="s">
        <v>4</v>
      </c>
      <c r="H6" s="6" t="s">
        <v>63</v>
      </c>
      <c r="I6" s="7" t="s">
        <v>3</v>
      </c>
      <c r="J6" s="8" t="s">
        <v>4</v>
      </c>
    </row>
    <row r="7" spans="1:11" ht="15" thickBot="1">
      <c r="B7" s="19" t="s">
        <v>64</v>
      </c>
      <c r="C7" s="5">
        <f>(SUMIFS(data[Amount],data[Geography],B7))</f>
        <v>252469</v>
      </c>
      <c r="D7" s="5">
        <f t="shared" ref="D7:D12" si="0">C7</f>
        <v>252469</v>
      </c>
      <c r="E7" s="24">
        <f>SUMIFS(data[Units],data[Geography],B7)</f>
        <v>8760</v>
      </c>
      <c r="H7" s="1" t="str" cm="1">
        <f t="array" ref="H7:H12">_xlfn.UNIQUE(data[Geography])</f>
        <v>New Zealand</v>
      </c>
      <c r="I7" s="5">
        <f>(SUMIFS(data[Amount],data[Geography],H7))</f>
        <v>218813</v>
      </c>
      <c r="J7" s="2">
        <f>SUMIFS(data[Units],data[Geography],H7)</f>
        <v>7431</v>
      </c>
    </row>
    <row r="8" spans="1:11" ht="15" thickBot="1">
      <c r="B8" s="21" t="s">
        <v>65</v>
      </c>
      <c r="C8" s="3">
        <f>SUMIFS(data[Amount],data[Geography],B8)</f>
        <v>237944</v>
      </c>
      <c r="D8" s="3">
        <f t="shared" si="0"/>
        <v>237944</v>
      </c>
      <c r="E8" s="25">
        <f>SUMIFS(data[Units],data[Geography],B8)</f>
        <v>7302</v>
      </c>
      <c r="H8" s="1" t="str">
        <v>USA</v>
      </c>
      <c r="I8" s="5">
        <f>(SUMIFS(data[Amount],data[Geography],H8))</f>
        <v>189434</v>
      </c>
      <c r="J8" s="2">
        <f>SUMIFS(data[Units],data[Geography],H8)</f>
        <v>10158</v>
      </c>
    </row>
    <row r="9" spans="1:11" ht="15" thickBot="1">
      <c r="B9" s="21" t="s">
        <v>66</v>
      </c>
      <c r="C9" s="3">
        <f>SUMIFS(data[Amount],data[Geography],B9)</f>
        <v>218813</v>
      </c>
      <c r="D9" s="5">
        <f t="shared" si="0"/>
        <v>218813</v>
      </c>
      <c r="E9" s="25">
        <f>SUMIFS(data[Units],data[Geography],B9)</f>
        <v>7431</v>
      </c>
      <c r="H9" s="1" t="str">
        <v>Canada</v>
      </c>
      <c r="I9" s="5">
        <f>(SUMIFS(data[Amount],data[Geography],H9))</f>
        <v>237944</v>
      </c>
      <c r="J9" s="2">
        <f>SUMIFS(data[Units],data[Geography],H9)</f>
        <v>7302</v>
      </c>
    </row>
    <row r="10" spans="1:11" ht="15" thickBot="1">
      <c r="B10" s="21" t="s">
        <v>13</v>
      </c>
      <c r="C10" s="3">
        <f>SUMIFS(data[Amount],data[Geography],B10)</f>
        <v>189434</v>
      </c>
      <c r="D10" s="3">
        <f t="shared" si="0"/>
        <v>189434</v>
      </c>
      <c r="E10" s="25">
        <f>SUMIFS(data[Units],data[Geography],B10)</f>
        <v>10158</v>
      </c>
      <c r="H10" s="1" t="str">
        <v>UK</v>
      </c>
      <c r="I10" s="5">
        <f>(SUMIFS(data[Amount],data[Geography],H10))</f>
        <v>173530</v>
      </c>
      <c r="J10" s="2">
        <f>SUMIFS(data[Units],data[Geography],H10)</f>
        <v>5745</v>
      </c>
    </row>
    <row r="11" spans="1:11" ht="15" thickBot="1">
      <c r="B11" s="21" t="s">
        <v>26</v>
      </c>
      <c r="C11" s="3">
        <f>SUMIFS(data[Amount],data[Geography],B11)</f>
        <v>173530</v>
      </c>
      <c r="D11" s="5">
        <f t="shared" si="0"/>
        <v>173530</v>
      </c>
      <c r="E11" s="25">
        <f>SUMIFS(data[Units],data[Geography],B11)</f>
        <v>5745</v>
      </c>
      <c r="H11" s="1" t="str">
        <v>Australia</v>
      </c>
      <c r="I11" s="5">
        <f>(SUMIFS(data[Amount],data[Geography],H11))</f>
        <v>168679</v>
      </c>
      <c r="J11" s="2">
        <f>SUMIFS(data[Units],data[Geography],H11)</f>
        <v>6264</v>
      </c>
    </row>
    <row r="12" spans="1:11" ht="15" thickBot="1">
      <c r="B12" s="20" t="s">
        <v>67</v>
      </c>
      <c r="C12" s="3">
        <f>SUMIFS(data[Amount],data[Geography],B12)</f>
        <v>168679</v>
      </c>
      <c r="D12" s="3">
        <f t="shared" si="0"/>
        <v>168679</v>
      </c>
      <c r="E12" s="26">
        <f>SUMIFS(data[Units],data[Geography],B12)</f>
        <v>6264</v>
      </c>
      <c r="H12" s="1" t="str">
        <v>India</v>
      </c>
      <c r="I12" s="5">
        <f>(SUMIFS(data[Amount],data[Geography],H12))</f>
        <v>252469</v>
      </c>
      <c r="J12" s="2">
        <f>SUMIFS(data[Units],data[Geography],H12)</f>
        <v>8760</v>
      </c>
    </row>
  </sheetData>
  <sortState xmlns:xlrd2="http://schemas.microsoft.com/office/spreadsheetml/2017/richdata2" ref="I7:J12">
    <sortCondition sortBy="cellColor" ref="I7:I12" dxfId="449"/>
  </sortState>
  <mergeCells count="1">
    <mergeCell ref="A1:K3"/>
  </mergeCells>
  <conditionalFormatting sqref="D7:D12">
    <cfRule type="dataBar" priority="1">
      <dataBar showValue="0">
        <cfvo type="min"/>
        <cfvo type="max"/>
        <color rgb="FFBE0A06"/>
      </dataBar>
      <extLst>
        <ext xmlns:x14="http://schemas.microsoft.com/office/spreadsheetml/2009/9/main" uri="{B025F937-C7B1-47D3-B67F-A62EFF666E3E}">
          <x14:id>{1ED72B2E-C4D0-4DFC-8905-7A9CC7CCC4CE}</x14:id>
        </ext>
      </extLst>
    </cfRule>
    <cfRule type="dataBar" priority="2">
      <dataBar showValue="0">
        <cfvo type="min"/>
        <cfvo type="max"/>
        <color theme="3" tint="0.39997558519241921"/>
      </dataBar>
      <extLst>
        <ext xmlns:x14="http://schemas.microsoft.com/office/spreadsheetml/2009/9/main" uri="{B025F937-C7B1-47D3-B67F-A62EFF666E3E}">
          <x14:id>{702ED14E-52E6-4FBE-9D22-4CB540BB6DAE}</x14:id>
        </ext>
      </extLst>
    </cfRule>
    <cfRule type="dataBar" priority="3">
      <dataBar>
        <cfvo type="min"/>
        <cfvo type="max"/>
        <color rgb="FF638EC6"/>
      </dataBar>
      <extLst>
        <ext xmlns:x14="http://schemas.microsoft.com/office/spreadsheetml/2009/9/main" uri="{B025F937-C7B1-47D3-B67F-A62EFF666E3E}">
          <x14:id>{F4180EDE-0848-4825-B5AE-1EA78D9EB917}</x14:id>
        </ext>
      </extLst>
    </cfRule>
  </conditionalFormatting>
  <pageMargins left="0.75" right="0.75" top="1" bottom="1" header="0.5" footer="0.5"/>
  <extLst>
    <ext xmlns:x14="http://schemas.microsoft.com/office/spreadsheetml/2009/9/main" uri="{78C0D931-6437-407d-A8EE-F0AAD7539E65}">
      <x14:conditionalFormattings>
        <x14:conditionalFormatting xmlns:xm="http://schemas.microsoft.com/office/excel/2006/main">
          <x14:cfRule type="dataBar" id="{1ED72B2E-C4D0-4DFC-8905-7A9CC7CCC4CE}">
            <x14:dataBar minLength="0" maxLength="100" gradient="0">
              <x14:cfvo type="autoMin"/>
              <x14:cfvo type="autoMax"/>
              <x14:negativeFillColor rgb="FFFF0000"/>
              <x14:axisColor rgb="FF000000"/>
            </x14:dataBar>
          </x14:cfRule>
          <x14:cfRule type="dataBar" id="{702ED14E-52E6-4FBE-9D22-4CB540BB6DAE}">
            <x14:dataBar minLength="0" maxLength="100" gradient="0">
              <x14:cfvo type="autoMin"/>
              <x14:cfvo type="autoMax"/>
              <x14:negativeFillColor rgb="FFFF0000"/>
              <x14:axisColor rgb="FF000000"/>
            </x14:dataBar>
          </x14:cfRule>
          <x14:cfRule type="dataBar" id="{F4180EDE-0848-4825-B5AE-1EA78D9EB917}">
            <x14:dataBar minLength="0" maxLength="100" border="1" negativeBarBorderColorSameAsPositive="0">
              <x14:cfvo type="autoMin"/>
              <x14:cfvo type="autoMax"/>
              <x14:borderColor rgb="FF638EC6"/>
              <x14:negativeFillColor rgb="FFFF0000"/>
              <x14:negativeBorderColor rgb="FFFF0000"/>
              <x14:axisColor rgb="FF000000"/>
            </x14:dataBar>
          </x14:cfRule>
          <xm:sqref>D7:D12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31589-2B37-4601-89D5-4B09860EDCE2}">
  <dimension ref="A1:E303"/>
  <sheetViews>
    <sheetView topLeftCell="A290" workbookViewId="0">
      <selection activeCell="H12" sqref="H12"/>
    </sheetView>
  </sheetViews>
  <sheetFormatPr defaultRowHeight="14.4"/>
  <cols>
    <col min="1" max="1" width="16.109375" bestFit="1" customWidth="1"/>
    <col min="2" max="2" width="12.33203125" bestFit="1" customWidth="1"/>
    <col min="3" max="3" width="21.77734375" bestFit="1" customWidth="1"/>
    <col min="4" max="4" width="9.5546875" bestFit="1" customWidth="1"/>
    <col min="5" max="5" width="9" bestFit="1" customWidth="1"/>
  </cols>
  <sheetData>
    <row r="1" spans="1:5">
      <c r="A1" s="10" t="s">
        <v>71</v>
      </c>
    </row>
    <row r="3" spans="1:5">
      <c r="A3" t="s">
        <v>0</v>
      </c>
      <c r="B3" t="s">
        <v>1</v>
      </c>
      <c r="C3" t="s">
        <v>2</v>
      </c>
      <c r="D3" t="s">
        <v>3</v>
      </c>
      <c r="E3" t="s">
        <v>4</v>
      </c>
    </row>
    <row r="4" spans="1:5">
      <c r="A4" t="s">
        <v>25</v>
      </c>
      <c r="B4" t="s">
        <v>33</v>
      </c>
      <c r="C4" t="s">
        <v>34</v>
      </c>
      <c r="D4">
        <v>2681</v>
      </c>
      <c r="E4">
        <v>54</v>
      </c>
    </row>
    <row r="5" spans="1:5">
      <c r="A5" t="s">
        <v>39</v>
      </c>
      <c r="B5" t="s">
        <v>33</v>
      </c>
      <c r="C5" t="s">
        <v>16</v>
      </c>
      <c r="D5">
        <v>1281</v>
      </c>
      <c r="E5">
        <v>75</v>
      </c>
    </row>
    <row r="6" spans="1:5">
      <c r="A6" t="s">
        <v>17</v>
      </c>
      <c r="B6" t="s">
        <v>33</v>
      </c>
      <c r="C6" t="s">
        <v>29</v>
      </c>
      <c r="D6">
        <v>2646</v>
      </c>
      <c r="E6">
        <v>120</v>
      </c>
    </row>
    <row r="7" spans="1:5">
      <c r="A7" t="s">
        <v>12</v>
      </c>
      <c r="B7" t="s">
        <v>33</v>
      </c>
      <c r="C7" t="s">
        <v>47</v>
      </c>
      <c r="D7">
        <v>1701</v>
      </c>
      <c r="E7">
        <v>234</v>
      </c>
    </row>
    <row r="8" spans="1:5">
      <c r="A8" t="s">
        <v>54</v>
      </c>
      <c r="B8" t="s">
        <v>33</v>
      </c>
      <c r="C8" t="s">
        <v>36</v>
      </c>
      <c r="D8">
        <v>2205</v>
      </c>
      <c r="E8">
        <v>141</v>
      </c>
    </row>
    <row r="9" spans="1:5">
      <c r="A9" t="s">
        <v>25</v>
      </c>
      <c r="B9" t="s">
        <v>33</v>
      </c>
      <c r="C9" t="s">
        <v>52</v>
      </c>
      <c r="D9">
        <v>1134</v>
      </c>
      <c r="E9">
        <v>282</v>
      </c>
    </row>
    <row r="10" spans="1:5">
      <c r="A10" t="s">
        <v>45</v>
      </c>
      <c r="B10" t="s">
        <v>33</v>
      </c>
      <c r="C10" t="s">
        <v>47</v>
      </c>
      <c r="D10">
        <v>4417</v>
      </c>
      <c r="E10">
        <v>153</v>
      </c>
    </row>
    <row r="11" spans="1:5">
      <c r="A11" t="s">
        <v>42</v>
      </c>
      <c r="B11" t="s">
        <v>33</v>
      </c>
      <c r="C11" t="s">
        <v>14</v>
      </c>
      <c r="D11">
        <v>5075</v>
      </c>
      <c r="E11">
        <v>21</v>
      </c>
    </row>
    <row r="12" spans="1:5">
      <c r="A12" t="s">
        <v>45</v>
      </c>
      <c r="B12" t="s">
        <v>33</v>
      </c>
      <c r="C12" t="s">
        <v>53</v>
      </c>
      <c r="D12">
        <v>6580</v>
      </c>
      <c r="E12">
        <v>183</v>
      </c>
    </row>
    <row r="13" spans="1:5">
      <c r="A13" t="s">
        <v>25</v>
      </c>
      <c r="B13" t="s">
        <v>33</v>
      </c>
      <c r="C13" t="s">
        <v>29</v>
      </c>
      <c r="D13">
        <v>938</v>
      </c>
      <c r="E13">
        <v>6</v>
      </c>
    </row>
    <row r="14" spans="1:5">
      <c r="A14" t="s">
        <v>54</v>
      </c>
      <c r="B14" t="s">
        <v>33</v>
      </c>
      <c r="C14" t="s">
        <v>16</v>
      </c>
      <c r="D14">
        <v>5586</v>
      </c>
      <c r="E14">
        <v>525</v>
      </c>
    </row>
    <row r="15" spans="1:5">
      <c r="A15" t="s">
        <v>45</v>
      </c>
      <c r="B15" t="s">
        <v>33</v>
      </c>
      <c r="C15" t="s">
        <v>11</v>
      </c>
      <c r="D15">
        <v>56</v>
      </c>
      <c r="E15">
        <v>51</v>
      </c>
    </row>
    <row r="16" spans="1:5">
      <c r="A16" t="s">
        <v>54</v>
      </c>
      <c r="B16" t="s">
        <v>33</v>
      </c>
      <c r="C16" t="s">
        <v>11</v>
      </c>
      <c r="D16">
        <v>63</v>
      </c>
      <c r="E16">
        <v>123</v>
      </c>
    </row>
    <row r="17" spans="1:5">
      <c r="A17" t="s">
        <v>42</v>
      </c>
      <c r="B17" t="s">
        <v>33</v>
      </c>
      <c r="C17" t="s">
        <v>11</v>
      </c>
      <c r="D17">
        <v>7189</v>
      </c>
      <c r="E17">
        <v>54</v>
      </c>
    </row>
    <row r="18" spans="1:5">
      <c r="A18" t="s">
        <v>25</v>
      </c>
      <c r="B18" t="s">
        <v>33</v>
      </c>
      <c r="C18" t="s">
        <v>27</v>
      </c>
      <c r="D18">
        <v>469</v>
      </c>
      <c r="E18">
        <v>75</v>
      </c>
    </row>
    <row r="19" spans="1:5">
      <c r="A19" t="s">
        <v>17</v>
      </c>
      <c r="B19" t="s">
        <v>33</v>
      </c>
      <c r="C19" t="s">
        <v>32</v>
      </c>
      <c r="D19">
        <v>2408</v>
      </c>
      <c r="E19">
        <v>9</v>
      </c>
    </row>
    <row r="20" spans="1:5">
      <c r="A20" t="s">
        <v>7</v>
      </c>
      <c r="B20" t="s">
        <v>33</v>
      </c>
      <c r="C20" t="s">
        <v>27</v>
      </c>
      <c r="D20">
        <v>2541</v>
      </c>
      <c r="E20">
        <v>90</v>
      </c>
    </row>
    <row r="21" spans="1:5">
      <c r="A21" t="s">
        <v>7</v>
      </c>
      <c r="B21" t="s">
        <v>33</v>
      </c>
      <c r="C21" t="s">
        <v>18</v>
      </c>
      <c r="D21">
        <v>6125</v>
      </c>
      <c r="E21">
        <v>102</v>
      </c>
    </row>
    <row r="22" spans="1:5">
      <c r="A22" t="s">
        <v>25</v>
      </c>
      <c r="B22" t="s">
        <v>33</v>
      </c>
      <c r="C22" t="s">
        <v>30</v>
      </c>
      <c r="D22">
        <v>959</v>
      </c>
      <c r="E22">
        <v>135</v>
      </c>
    </row>
    <row r="23" spans="1:5">
      <c r="A23" t="s">
        <v>12</v>
      </c>
      <c r="B23" t="s">
        <v>33</v>
      </c>
      <c r="C23" t="s">
        <v>36</v>
      </c>
      <c r="D23">
        <v>168</v>
      </c>
      <c r="E23">
        <v>84</v>
      </c>
    </row>
    <row r="24" spans="1:5">
      <c r="A24" t="s">
        <v>39</v>
      </c>
      <c r="B24" t="s">
        <v>33</v>
      </c>
      <c r="C24" t="s">
        <v>53</v>
      </c>
      <c r="D24">
        <v>5677</v>
      </c>
      <c r="E24">
        <v>258</v>
      </c>
    </row>
    <row r="25" spans="1:5">
      <c r="A25" t="s">
        <v>12</v>
      </c>
      <c r="B25" t="s">
        <v>33</v>
      </c>
      <c r="C25" t="s">
        <v>14</v>
      </c>
      <c r="D25">
        <v>3752</v>
      </c>
      <c r="E25">
        <v>213</v>
      </c>
    </row>
    <row r="26" spans="1:5">
      <c r="A26" t="s">
        <v>12</v>
      </c>
      <c r="B26" t="s">
        <v>33</v>
      </c>
      <c r="C26" t="s">
        <v>11</v>
      </c>
      <c r="D26">
        <v>819</v>
      </c>
      <c r="E26">
        <v>510</v>
      </c>
    </row>
    <row r="27" spans="1:5">
      <c r="A27" t="s">
        <v>25</v>
      </c>
      <c r="B27" t="s">
        <v>33</v>
      </c>
      <c r="C27" t="s">
        <v>44</v>
      </c>
      <c r="D27">
        <v>7322</v>
      </c>
      <c r="E27">
        <v>36</v>
      </c>
    </row>
    <row r="28" spans="1:5">
      <c r="A28" t="s">
        <v>7</v>
      </c>
      <c r="B28" t="s">
        <v>33</v>
      </c>
      <c r="C28" t="s">
        <v>11</v>
      </c>
      <c r="D28">
        <v>5670</v>
      </c>
      <c r="E28">
        <v>297</v>
      </c>
    </row>
    <row r="29" spans="1:5">
      <c r="A29" t="s">
        <v>7</v>
      </c>
      <c r="B29" t="s">
        <v>33</v>
      </c>
      <c r="C29" t="s">
        <v>48</v>
      </c>
      <c r="D29">
        <v>623</v>
      </c>
      <c r="E29">
        <v>51</v>
      </c>
    </row>
    <row r="30" spans="1:5">
      <c r="A30" t="s">
        <v>25</v>
      </c>
      <c r="B30" t="s">
        <v>33</v>
      </c>
      <c r="C30" t="s">
        <v>11</v>
      </c>
      <c r="D30">
        <v>2317</v>
      </c>
      <c r="E30">
        <v>123</v>
      </c>
    </row>
    <row r="31" spans="1:5">
      <c r="A31" t="s">
        <v>7</v>
      </c>
      <c r="B31" t="s">
        <v>33</v>
      </c>
      <c r="C31" t="s">
        <v>51</v>
      </c>
      <c r="D31">
        <v>2541</v>
      </c>
      <c r="E31">
        <v>45</v>
      </c>
    </row>
    <row r="32" spans="1:5">
      <c r="A32" t="s">
        <v>39</v>
      </c>
      <c r="B32" t="s">
        <v>33</v>
      </c>
      <c r="C32" t="s">
        <v>22</v>
      </c>
      <c r="D32">
        <v>1778</v>
      </c>
      <c r="E32">
        <v>270</v>
      </c>
    </row>
    <row r="33" spans="1:5">
      <c r="A33" t="s">
        <v>20</v>
      </c>
      <c r="B33" t="s">
        <v>33</v>
      </c>
      <c r="C33" t="s">
        <v>27</v>
      </c>
      <c r="D33">
        <v>154</v>
      </c>
      <c r="E33">
        <v>21</v>
      </c>
    </row>
    <row r="34" spans="1:5">
      <c r="A34" t="s">
        <v>45</v>
      </c>
      <c r="B34" t="s">
        <v>33</v>
      </c>
      <c r="C34" t="s">
        <v>18</v>
      </c>
      <c r="D34">
        <v>3549</v>
      </c>
      <c r="E34">
        <v>3</v>
      </c>
    </row>
    <row r="35" spans="1:5">
      <c r="A35" t="s">
        <v>17</v>
      </c>
      <c r="B35" t="s">
        <v>33</v>
      </c>
      <c r="C35" t="s">
        <v>48</v>
      </c>
      <c r="D35">
        <v>4137</v>
      </c>
      <c r="E35">
        <v>60</v>
      </c>
    </row>
    <row r="36" spans="1:5">
      <c r="A36" t="s">
        <v>20</v>
      </c>
      <c r="B36" t="s">
        <v>33</v>
      </c>
      <c r="C36" t="s">
        <v>36</v>
      </c>
      <c r="D36">
        <v>5915</v>
      </c>
      <c r="E36">
        <v>3</v>
      </c>
    </row>
    <row r="37" spans="1:5">
      <c r="A37" t="s">
        <v>7</v>
      </c>
      <c r="B37" t="s">
        <v>33</v>
      </c>
      <c r="C37" t="s">
        <v>50</v>
      </c>
      <c r="D37">
        <v>609</v>
      </c>
      <c r="E37">
        <v>87</v>
      </c>
    </row>
    <row r="38" spans="1:5">
      <c r="A38" t="s">
        <v>42</v>
      </c>
      <c r="B38" t="s">
        <v>33</v>
      </c>
      <c r="C38" t="s">
        <v>38</v>
      </c>
      <c r="D38">
        <v>5474</v>
      </c>
      <c r="E38">
        <v>168</v>
      </c>
    </row>
    <row r="39" spans="1:5">
      <c r="A39" t="s">
        <v>17</v>
      </c>
      <c r="B39" t="s">
        <v>33</v>
      </c>
      <c r="C39" t="s">
        <v>50</v>
      </c>
      <c r="D39">
        <v>2436</v>
      </c>
      <c r="E39">
        <v>99</v>
      </c>
    </row>
    <row r="40" spans="1:5">
      <c r="A40" t="s">
        <v>17</v>
      </c>
      <c r="B40" t="s">
        <v>33</v>
      </c>
      <c r="C40" t="s">
        <v>30</v>
      </c>
      <c r="D40">
        <v>9506</v>
      </c>
      <c r="E40">
        <v>87</v>
      </c>
    </row>
    <row r="41" spans="1:5">
      <c r="A41" t="s">
        <v>7</v>
      </c>
      <c r="B41" t="s">
        <v>33</v>
      </c>
      <c r="C41" t="s">
        <v>34</v>
      </c>
      <c r="D41">
        <v>1988</v>
      </c>
      <c r="E41">
        <v>39</v>
      </c>
    </row>
    <row r="42" spans="1:5">
      <c r="A42" t="s">
        <v>39</v>
      </c>
      <c r="B42" t="s">
        <v>33</v>
      </c>
      <c r="C42" t="s">
        <v>9</v>
      </c>
      <c r="D42">
        <v>10129</v>
      </c>
      <c r="E42">
        <v>312</v>
      </c>
    </row>
    <row r="43" spans="1:5">
      <c r="A43" t="s">
        <v>12</v>
      </c>
      <c r="B43" t="s">
        <v>33</v>
      </c>
      <c r="C43" t="s">
        <v>44</v>
      </c>
      <c r="D43">
        <v>6433</v>
      </c>
      <c r="E43">
        <v>78</v>
      </c>
    </row>
    <row r="44" spans="1:5">
      <c r="A44" t="s">
        <v>12</v>
      </c>
      <c r="B44" t="s">
        <v>33</v>
      </c>
      <c r="C44" t="s">
        <v>52</v>
      </c>
      <c r="D44">
        <v>2268</v>
      </c>
      <c r="E44">
        <v>63</v>
      </c>
    </row>
    <row r="45" spans="1:5">
      <c r="A45" t="s">
        <v>45</v>
      </c>
      <c r="B45" t="s">
        <v>33</v>
      </c>
      <c r="C45" t="s">
        <v>34</v>
      </c>
      <c r="D45">
        <v>4326</v>
      </c>
      <c r="E45">
        <v>348</v>
      </c>
    </row>
    <row r="46" spans="1:5">
      <c r="A46" t="s">
        <v>42</v>
      </c>
      <c r="B46" t="s">
        <v>33</v>
      </c>
      <c r="C46" t="s">
        <v>27</v>
      </c>
      <c r="D46">
        <v>7483</v>
      </c>
      <c r="E46">
        <v>45</v>
      </c>
    </row>
    <row r="47" spans="1:5">
      <c r="A47" t="s">
        <v>54</v>
      </c>
      <c r="B47" t="s">
        <v>33</v>
      </c>
      <c r="C47" t="s">
        <v>18</v>
      </c>
      <c r="D47">
        <v>6860</v>
      </c>
      <c r="E47">
        <v>126</v>
      </c>
    </row>
    <row r="48" spans="1:5">
      <c r="A48" t="s">
        <v>46</v>
      </c>
      <c r="B48" t="s">
        <v>33</v>
      </c>
      <c r="C48" t="s">
        <v>50</v>
      </c>
      <c r="D48">
        <v>8841</v>
      </c>
      <c r="E48">
        <v>303</v>
      </c>
    </row>
    <row r="49" spans="1:5">
      <c r="A49" t="s">
        <v>17</v>
      </c>
      <c r="B49" t="s">
        <v>33</v>
      </c>
      <c r="C49" t="s">
        <v>27</v>
      </c>
      <c r="D49">
        <v>3850</v>
      </c>
      <c r="E49">
        <v>102</v>
      </c>
    </row>
    <row r="50" spans="1:5">
      <c r="A50" t="s">
        <v>20</v>
      </c>
      <c r="B50" t="s">
        <v>21</v>
      </c>
      <c r="C50" t="s">
        <v>22</v>
      </c>
      <c r="D50">
        <v>9632</v>
      </c>
      <c r="E50">
        <v>288</v>
      </c>
    </row>
    <row r="51" spans="1:5">
      <c r="A51" t="s">
        <v>20</v>
      </c>
      <c r="B51" t="s">
        <v>21</v>
      </c>
      <c r="C51" t="s">
        <v>11</v>
      </c>
      <c r="D51">
        <v>10311</v>
      </c>
      <c r="E51">
        <v>231</v>
      </c>
    </row>
    <row r="52" spans="1:5">
      <c r="A52" t="s">
        <v>42</v>
      </c>
      <c r="B52" t="s">
        <v>21</v>
      </c>
      <c r="C52" t="s">
        <v>47</v>
      </c>
      <c r="D52">
        <v>6314</v>
      </c>
      <c r="E52">
        <v>15</v>
      </c>
    </row>
    <row r="53" spans="1:5">
      <c r="A53" t="s">
        <v>46</v>
      </c>
      <c r="B53" t="s">
        <v>21</v>
      </c>
      <c r="C53" t="s">
        <v>29</v>
      </c>
      <c r="D53">
        <v>9198</v>
      </c>
      <c r="E53">
        <v>36</v>
      </c>
    </row>
    <row r="54" spans="1:5">
      <c r="A54" t="s">
        <v>42</v>
      </c>
      <c r="B54" t="s">
        <v>21</v>
      </c>
      <c r="C54" t="s">
        <v>29</v>
      </c>
      <c r="D54">
        <v>16184</v>
      </c>
      <c r="E54">
        <v>39</v>
      </c>
    </row>
    <row r="55" spans="1:5">
      <c r="A55" t="s">
        <v>25</v>
      </c>
      <c r="B55" t="s">
        <v>21</v>
      </c>
      <c r="C55" t="s">
        <v>44</v>
      </c>
      <c r="D55">
        <v>497</v>
      </c>
      <c r="E55">
        <v>63</v>
      </c>
    </row>
    <row r="56" spans="1:5">
      <c r="A56" t="s">
        <v>45</v>
      </c>
      <c r="B56" t="s">
        <v>21</v>
      </c>
      <c r="C56" t="s">
        <v>51</v>
      </c>
      <c r="D56">
        <v>8211</v>
      </c>
      <c r="E56">
        <v>75</v>
      </c>
    </row>
    <row r="57" spans="1:5">
      <c r="A57" t="s">
        <v>7</v>
      </c>
      <c r="B57" t="s">
        <v>21</v>
      </c>
      <c r="C57" t="s">
        <v>27</v>
      </c>
      <c r="D57">
        <v>5439</v>
      </c>
      <c r="E57">
        <v>30</v>
      </c>
    </row>
    <row r="58" spans="1:5">
      <c r="A58" t="s">
        <v>25</v>
      </c>
      <c r="B58" t="s">
        <v>21</v>
      </c>
      <c r="C58" t="s">
        <v>14</v>
      </c>
      <c r="D58">
        <v>6118</v>
      </c>
      <c r="E58">
        <v>9</v>
      </c>
    </row>
    <row r="59" spans="1:5">
      <c r="A59" t="s">
        <v>54</v>
      </c>
      <c r="B59" t="s">
        <v>21</v>
      </c>
      <c r="C59" t="s">
        <v>47</v>
      </c>
      <c r="D59">
        <v>2317</v>
      </c>
      <c r="E59">
        <v>261</v>
      </c>
    </row>
    <row r="60" spans="1:5">
      <c r="A60" t="s">
        <v>46</v>
      </c>
      <c r="B60" t="s">
        <v>21</v>
      </c>
      <c r="C60" t="s">
        <v>47</v>
      </c>
      <c r="D60">
        <v>3773</v>
      </c>
      <c r="E60">
        <v>165</v>
      </c>
    </row>
    <row r="61" spans="1:5">
      <c r="A61" t="s">
        <v>20</v>
      </c>
      <c r="B61" t="s">
        <v>21</v>
      </c>
      <c r="C61" t="s">
        <v>53</v>
      </c>
      <c r="D61">
        <v>854</v>
      </c>
      <c r="E61">
        <v>309</v>
      </c>
    </row>
    <row r="62" spans="1:5">
      <c r="A62" t="s">
        <v>25</v>
      </c>
      <c r="B62" t="s">
        <v>21</v>
      </c>
      <c r="C62" t="s">
        <v>32</v>
      </c>
      <c r="D62">
        <v>4970</v>
      </c>
      <c r="E62">
        <v>156</v>
      </c>
    </row>
    <row r="63" spans="1:5">
      <c r="A63" t="s">
        <v>46</v>
      </c>
      <c r="B63" t="s">
        <v>21</v>
      </c>
      <c r="C63" t="s">
        <v>27</v>
      </c>
      <c r="D63">
        <v>3339</v>
      </c>
      <c r="E63">
        <v>39</v>
      </c>
    </row>
    <row r="64" spans="1:5">
      <c r="A64" t="s">
        <v>46</v>
      </c>
      <c r="B64" t="s">
        <v>21</v>
      </c>
      <c r="C64" t="s">
        <v>53</v>
      </c>
      <c r="D64">
        <v>973</v>
      </c>
      <c r="E64">
        <v>162</v>
      </c>
    </row>
    <row r="65" spans="1:5">
      <c r="A65" t="s">
        <v>54</v>
      </c>
      <c r="B65" t="s">
        <v>21</v>
      </c>
      <c r="C65" t="s">
        <v>51</v>
      </c>
      <c r="D65">
        <v>2471</v>
      </c>
      <c r="E65">
        <v>342</v>
      </c>
    </row>
    <row r="66" spans="1:5">
      <c r="A66" t="s">
        <v>46</v>
      </c>
      <c r="B66" t="s">
        <v>21</v>
      </c>
      <c r="C66" t="s">
        <v>38</v>
      </c>
      <c r="D66">
        <v>1281</v>
      </c>
      <c r="E66">
        <v>18</v>
      </c>
    </row>
    <row r="67" spans="1:5">
      <c r="A67" t="s">
        <v>39</v>
      </c>
      <c r="B67" t="s">
        <v>21</v>
      </c>
      <c r="C67" t="s">
        <v>38</v>
      </c>
      <c r="D67">
        <v>2870</v>
      </c>
      <c r="E67">
        <v>300</v>
      </c>
    </row>
    <row r="68" spans="1:5">
      <c r="A68" t="s">
        <v>45</v>
      </c>
      <c r="B68" t="s">
        <v>21</v>
      </c>
      <c r="C68" t="s">
        <v>52</v>
      </c>
      <c r="D68">
        <v>798</v>
      </c>
      <c r="E68">
        <v>519</v>
      </c>
    </row>
    <row r="69" spans="1:5">
      <c r="A69" t="s">
        <v>7</v>
      </c>
      <c r="B69" t="s">
        <v>21</v>
      </c>
      <c r="C69" t="s">
        <v>30</v>
      </c>
      <c r="D69">
        <v>9772</v>
      </c>
      <c r="E69">
        <v>90</v>
      </c>
    </row>
    <row r="70" spans="1:5">
      <c r="A70" t="s">
        <v>45</v>
      </c>
      <c r="B70" t="s">
        <v>21</v>
      </c>
      <c r="C70" t="s">
        <v>29</v>
      </c>
      <c r="D70">
        <v>11417</v>
      </c>
      <c r="E70">
        <v>21</v>
      </c>
    </row>
    <row r="71" spans="1:5">
      <c r="A71" t="s">
        <v>54</v>
      </c>
      <c r="B71" t="s">
        <v>21</v>
      </c>
      <c r="C71" t="s">
        <v>52</v>
      </c>
      <c r="D71">
        <v>1407</v>
      </c>
      <c r="E71">
        <v>72</v>
      </c>
    </row>
    <row r="72" spans="1:5">
      <c r="A72" t="s">
        <v>20</v>
      </c>
      <c r="B72" t="s">
        <v>21</v>
      </c>
      <c r="C72" t="s">
        <v>38</v>
      </c>
      <c r="D72">
        <v>1925</v>
      </c>
      <c r="E72">
        <v>192</v>
      </c>
    </row>
    <row r="73" spans="1:5">
      <c r="A73" t="s">
        <v>39</v>
      </c>
      <c r="B73" t="s">
        <v>21</v>
      </c>
      <c r="C73" t="s">
        <v>51</v>
      </c>
      <c r="D73">
        <v>5551</v>
      </c>
      <c r="E73">
        <v>252</v>
      </c>
    </row>
    <row r="74" spans="1:5">
      <c r="A74" t="s">
        <v>54</v>
      </c>
      <c r="B74" t="s">
        <v>21</v>
      </c>
      <c r="C74" t="s">
        <v>14</v>
      </c>
      <c r="D74">
        <v>6657</v>
      </c>
      <c r="E74">
        <v>303</v>
      </c>
    </row>
    <row r="75" spans="1:5">
      <c r="A75" t="s">
        <v>42</v>
      </c>
      <c r="B75" t="s">
        <v>21</v>
      </c>
      <c r="C75" t="s">
        <v>32</v>
      </c>
      <c r="D75">
        <v>3339</v>
      </c>
      <c r="E75">
        <v>348</v>
      </c>
    </row>
    <row r="76" spans="1:5">
      <c r="A76" t="s">
        <v>20</v>
      </c>
      <c r="B76" t="s">
        <v>21</v>
      </c>
      <c r="C76" t="s">
        <v>50</v>
      </c>
      <c r="D76">
        <v>98</v>
      </c>
      <c r="E76">
        <v>204</v>
      </c>
    </row>
    <row r="77" spans="1:5">
      <c r="A77" t="s">
        <v>39</v>
      </c>
      <c r="B77" t="s">
        <v>21</v>
      </c>
      <c r="C77" t="s">
        <v>36</v>
      </c>
      <c r="D77">
        <v>8435</v>
      </c>
      <c r="E77">
        <v>42</v>
      </c>
    </row>
    <row r="78" spans="1:5">
      <c r="A78" t="s">
        <v>39</v>
      </c>
      <c r="B78" t="s">
        <v>21</v>
      </c>
      <c r="C78" t="s">
        <v>22</v>
      </c>
      <c r="D78">
        <v>2646</v>
      </c>
      <c r="E78">
        <v>177</v>
      </c>
    </row>
    <row r="79" spans="1:5">
      <c r="A79" t="s">
        <v>25</v>
      </c>
      <c r="B79" t="s">
        <v>21</v>
      </c>
      <c r="C79" t="s">
        <v>18</v>
      </c>
      <c r="D79">
        <v>10073</v>
      </c>
      <c r="E79">
        <v>120</v>
      </c>
    </row>
    <row r="80" spans="1:5">
      <c r="A80" t="s">
        <v>17</v>
      </c>
      <c r="B80" t="s">
        <v>21</v>
      </c>
      <c r="C80" t="s">
        <v>52</v>
      </c>
      <c r="D80">
        <v>11522</v>
      </c>
      <c r="E80">
        <v>204</v>
      </c>
    </row>
    <row r="81" spans="1:5">
      <c r="A81" t="s">
        <v>42</v>
      </c>
      <c r="B81" t="s">
        <v>21</v>
      </c>
      <c r="C81" t="s">
        <v>11</v>
      </c>
      <c r="D81">
        <v>6146</v>
      </c>
      <c r="E81">
        <v>63</v>
      </c>
    </row>
    <row r="82" spans="1:5">
      <c r="A82" t="s">
        <v>20</v>
      </c>
      <c r="B82" t="s">
        <v>21</v>
      </c>
      <c r="C82" t="s">
        <v>14</v>
      </c>
      <c r="D82">
        <v>10304</v>
      </c>
      <c r="E82">
        <v>84</v>
      </c>
    </row>
    <row r="83" spans="1:5">
      <c r="A83" t="s">
        <v>42</v>
      </c>
      <c r="B83" t="s">
        <v>21</v>
      </c>
      <c r="C83" t="s">
        <v>9</v>
      </c>
      <c r="D83">
        <v>1526</v>
      </c>
      <c r="E83">
        <v>105</v>
      </c>
    </row>
    <row r="84" spans="1:5">
      <c r="A84" t="s">
        <v>17</v>
      </c>
      <c r="B84" t="s">
        <v>21</v>
      </c>
      <c r="C84" t="s">
        <v>14</v>
      </c>
      <c r="D84">
        <v>2954</v>
      </c>
      <c r="E84">
        <v>189</v>
      </c>
    </row>
    <row r="85" spans="1:5">
      <c r="A85" t="s">
        <v>39</v>
      </c>
      <c r="B85" t="s">
        <v>21</v>
      </c>
      <c r="C85" t="s">
        <v>14</v>
      </c>
      <c r="D85">
        <v>280</v>
      </c>
      <c r="E85">
        <v>87</v>
      </c>
    </row>
    <row r="86" spans="1:5">
      <c r="A86" t="s">
        <v>20</v>
      </c>
      <c r="B86" t="s">
        <v>21</v>
      </c>
      <c r="C86" t="s">
        <v>9</v>
      </c>
      <c r="D86">
        <v>6118</v>
      </c>
      <c r="E86">
        <v>174</v>
      </c>
    </row>
    <row r="87" spans="1:5">
      <c r="A87" t="s">
        <v>17</v>
      </c>
      <c r="B87" t="s">
        <v>21</v>
      </c>
      <c r="C87" t="s">
        <v>9</v>
      </c>
      <c r="D87">
        <v>9051</v>
      </c>
      <c r="E87">
        <v>57</v>
      </c>
    </row>
    <row r="88" spans="1:5">
      <c r="A88" t="s">
        <v>42</v>
      </c>
      <c r="B88" t="s">
        <v>21</v>
      </c>
      <c r="C88" t="s">
        <v>22</v>
      </c>
      <c r="D88">
        <v>6111</v>
      </c>
      <c r="E88">
        <v>3</v>
      </c>
    </row>
    <row r="89" spans="1:5">
      <c r="A89" t="s">
        <v>25</v>
      </c>
      <c r="B89" t="s">
        <v>21</v>
      </c>
      <c r="C89" t="s">
        <v>11</v>
      </c>
      <c r="D89">
        <v>4319</v>
      </c>
      <c r="E89">
        <v>30</v>
      </c>
    </row>
    <row r="90" spans="1:5">
      <c r="A90" t="s">
        <v>7</v>
      </c>
      <c r="B90" t="s">
        <v>21</v>
      </c>
      <c r="C90" t="s">
        <v>52</v>
      </c>
      <c r="D90">
        <v>3164</v>
      </c>
      <c r="E90">
        <v>306</v>
      </c>
    </row>
    <row r="91" spans="1:5">
      <c r="A91" t="s">
        <v>54</v>
      </c>
      <c r="B91" t="s">
        <v>21</v>
      </c>
      <c r="C91" t="s">
        <v>11</v>
      </c>
      <c r="D91">
        <v>945</v>
      </c>
      <c r="E91">
        <v>75</v>
      </c>
    </row>
    <row r="92" spans="1:5">
      <c r="A92" t="s">
        <v>7</v>
      </c>
      <c r="B92" t="s">
        <v>21</v>
      </c>
      <c r="C92" t="s">
        <v>18</v>
      </c>
      <c r="D92">
        <v>217</v>
      </c>
      <c r="E92">
        <v>36</v>
      </c>
    </row>
    <row r="93" spans="1:5">
      <c r="A93" t="s">
        <v>7</v>
      </c>
      <c r="B93" t="s">
        <v>21</v>
      </c>
      <c r="C93" t="s">
        <v>11</v>
      </c>
      <c r="D93">
        <v>4424</v>
      </c>
      <c r="E93">
        <v>201</v>
      </c>
    </row>
    <row r="94" spans="1:5">
      <c r="A94" t="s">
        <v>45</v>
      </c>
      <c r="B94" t="s">
        <v>21</v>
      </c>
      <c r="C94" t="s">
        <v>32</v>
      </c>
      <c r="D94">
        <v>189</v>
      </c>
      <c r="E94">
        <v>48</v>
      </c>
    </row>
    <row r="95" spans="1:5">
      <c r="A95" t="s">
        <v>12</v>
      </c>
      <c r="B95" t="s">
        <v>21</v>
      </c>
      <c r="C95" t="s">
        <v>47</v>
      </c>
      <c r="D95">
        <v>5019</v>
      </c>
      <c r="E95">
        <v>150</v>
      </c>
    </row>
    <row r="96" spans="1:5">
      <c r="A96" t="s">
        <v>45</v>
      </c>
      <c r="B96" t="s">
        <v>21</v>
      </c>
      <c r="C96" t="s">
        <v>34</v>
      </c>
      <c r="D96">
        <v>3094</v>
      </c>
      <c r="E96">
        <v>246</v>
      </c>
    </row>
    <row r="97" spans="1:5">
      <c r="A97" t="s">
        <v>25</v>
      </c>
      <c r="B97" t="s">
        <v>21</v>
      </c>
      <c r="C97" t="s">
        <v>51</v>
      </c>
      <c r="D97">
        <v>1400</v>
      </c>
      <c r="E97">
        <v>135</v>
      </c>
    </row>
    <row r="98" spans="1:5">
      <c r="A98" t="s">
        <v>39</v>
      </c>
      <c r="B98" t="s">
        <v>21</v>
      </c>
      <c r="C98" t="s">
        <v>34</v>
      </c>
      <c r="D98">
        <v>2149</v>
      </c>
      <c r="E98">
        <v>117</v>
      </c>
    </row>
    <row r="99" spans="1:5">
      <c r="A99" t="s">
        <v>17</v>
      </c>
      <c r="B99" t="s">
        <v>21</v>
      </c>
      <c r="C99" t="s">
        <v>27</v>
      </c>
      <c r="D99">
        <v>2142</v>
      </c>
      <c r="E99">
        <v>114</v>
      </c>
    </row>
    <row r="100" spans="1:5">
      <c r="A100" t="s">
        <v>45</v>
      </c>
      <c r="B100" t="s">
        <v>49</v>
      </c>
      <c r="C100" t="s">
        <v>11</v>
      </c>
      <c r="D100">
        <v>252</v>
      </c>
      <c r="E100">
        <v>54</v>
      </c>
    </row>
    <row r="101" spans="1:5">
      <c r="A101" t="s">
        <v>42</v>
      </c>
      <c r="B101" t="s">
        <v>49</v>
      </c>
      <c r="C101" t="s">
        <v>41</v>
      </c>
      <c r="D101">
        <v>15610</v>
      </c>
      <c r="E101">
        <v>339</v>
      </c>
    </row>
    <row r="102" spans="1:5">
      <c r="A102" t="s">
        <v>20</v>
      </c>
      <c r="B102" t="s">
        <v>49</v>
      </c>
      <c r="C102" t="s">
        <v>36</v>
      </c>
      <c r="D102">
        <v>336</v>
      </c>
      <c r="E102">
        <v>144</v>
      </c>
    </row>
    <row r="103" spans="1:5">
      <c r="A103" t="s">
        <v>17</v>
      </c>
      <c r="B103" t="s">
        <v>49</v>
      </c>
      <c r="C103" t="s">
        <v>47</v>
      </c>
      <c r="D103">
        <v>8155</v>
      </c>
      <c r="E103">
        <v>90</v>
      </c>
    </row>
    <row r="104" spans="1:5">
      <c r="A104" t="s">
        <v>39</v>
      </c>
      <c r="B104" t="s">
        <v>49</v>
      </c>
      <c r="C104" t="s">
        <v>14</v>
      </c>
      <c r="D104">
        <v>3262</v>
      </c>
      <c r="E104">
        <v>75</v>
      </c>
    </row>
    <row r="105" spans="1:5">
      <c r="A105" t="s">
        <v>7</v>
      </c>
      <c r="B105" t="s">
        <v>49</v>
      </c>
      <c r="C105" t="s">
        <v>52</v>
      </c>
      <c r="D105">
        <v>2289</v>
      </c>
      <c r="E105">
        <v>135</v>
      </c>
    </row>
    <row r="106" spans="1:5">
      <c r="A106" t="s">
        <v>42</v>
      </c>
      <c r="B106" t="s">
        <v>49</v>
      </c>
      <c r="C106" t="s">
        <v>52</v>
      </c>
      <c r="D106">
        <v>6986</v>
      </c>
      <c r="E106">
        <v>21</v>
      </c>
    </row>
    <row r="107" spans="1:5">
      <c r="A107" t="s">
        <v>25</v>
      </c>
      <c r="B107" t="s">
        <v>49</v>
      </c>
      <c r="C107" t="s">
        <v>24</v>
      </c>
      <c r="D107">
        <v>1442</v>
      </c>
      <c r="E107">
        <v>15</v>
      </c>
    </row>
    <row r="108" spans="1:5">
      <c r="A108" t="s">
        <v>25</v>
      </c>
      <c r="B108" t="s">
        <v>49</v>
      </c>
      <c r="C108" t="s">
        <v>51</v>
      </c>
      <c r="D108">
        <v>3339</v>
      </c>
      <c r="E108">
        <v>75</v>
      </c>
    </row>
    <row r="109" spans="1:5">
      <c r="A109" t="s">
        <v>7</v>
      </c>
      <c r="B109" t="s">
        <v>49</v>
      </c>
      <c r="C109" t="s">
        <v>32</v>
      </c>
      <c r="D109">
        <v>5019</v>
      </c>
      <c r="E109">
        <v>156</v>
      </c>
    </row>
    <row r="110" spans="1:5">
      <c r="A110" t="s">
        <v>20</v>
      </c>
      <c r="B110" t="s">
        <v>49</v>
      </c>
      <c r="C110" t="s">
        <v>32</v>
      </c>
      <c r="D110">
        <v>1463</v>
      </c>
      <c r="E110">
        <v>39</v>
      </c>
    </row>
    <row r="111" spans="1:5">
      <c r="A111" t="s">
        <v>46</v>
      </c>
      <c r="B111" t="s">
        <v>49</v>
      </c>
      <c r="C111" t="s">
        <v>14</v>
      </c>
      <c r="D111">
        <v>7777</v>
      </c>
      <c r="E111">
        <v>504</v>
      </c>
    </row>
    <row r="112" spans="1:5">
      <c r="A112" t="s">
        <v>25</v>
      </c>
      <c r="B112" t="s">
        <v>49</v>
      </c>
      <c r="C112" t="s">
        <v>52</v>
      </c>
      <c r="D112">
        <v>4242</v>
      </c>
      <c r="E112">
        <v>207</v>
      </c>
    </row>
    <row r="113" spans="1:5">
      <c r="A113" t="s">
        <v>39</v>
      </c>
      <c r="B113" t="s">
        <v>49</v>
      </c>
      <c r="C113" t="s">
        <v>41</v>
      </c>
      <c r="D113">
        <v>2205</v>
      </c>
      <c r="E113">
        <v>138</v>
      </c>
    </row>
    <row r="114" spans="1:5">
      <c r="A114" t="s">
        <v>7</v>
      </c>
      <c r="B114" t="s">
        <v>49</v>
      </c>
      <c r="C114" t="s">
        <v>38</v>
      </c>
      <c r="D114">
        <v>4018</v>
      </c>
      <c r="E114">
        <v>162</v>
      </c>
    </row>
    <row r="115" spans="1:5">
      <c r="A115" t="s">
        <v>42</v>
      </c>
      <c r="B115" t="s">
        <v>49</v>
      </c>
      <c r="C115" t="s">
        <v>38</v>
      </c>
      <c r="D115">
        <v>861</v>
      </c>
      <c r="E115">
        <v>195</v>
      </c>
    </row>
    <row r="116" spans="1:5">
      <c r="A116" t="s">
        <v>39</v>
      </c>
      <c r="B116" t="s">
        <v>49</v>
      </c>
      <c r="C116" t="s">
        <v>30</v>
      </c>
      <c r="D116">
        <v>2226</v>
      </c>
      <c r="E116">
        <v>48</v>
      </c>
    </row>
    <row r="117" spans="1:5">
      <c r="A117" t="s">
        <v>17</v>
      </c>
      <c r="B117" t="s">
        <v>49</v>
      </c>
      <c r="C117" t="s">
        <v>53</v>
      </c>
      <c r="D117">
        <v>14329</v>
      </c>
      <c r="E117">
        <v>150</v>
      </c>
    </row>
    <row r="118" spans="1:5">
      <c r="A118" t="s">
        <v>17</v>
      </c>
      <c r="B118" t="s">
        <v>49</v>
      </c>
      <c r="C118" t="s">
        <v>41</v>
      </c>
      <c r="D118">
        <v>8463</v>
      </c>
      <c r="E118">
        <v>492</v>
      </c>
    </row>
    <row r="119" spans="1:5">
      <c r="A119" t="s">
        <v>42</v>
      </c>
      <c r="B119" t="s">
        <v>49</v>
      </c>
      <c r="C119" t="s">
        <v>51</v>
      </c>
      <c r="D119">
        <v>2891</v>
      </c>
      <c r="E119">
        <v>102</v>
      </c>
    </row>
    <row r="120" spans="1:5">
      <c r="A120" t="s">
        <v>46</v>
      </c>
      <c r="B120" t="s">
        <v>49</v>
      </c>
      <c r="C120" t="s">
        <v>50</v>
      </c>
      <c r="D120">
        <v>3108</v>
      </c>
      <c r="E120">
        <v>54</v>
      </c>
    </row>
    <row r="121" spans="1:5">
      <c r="A121" t="s">
        <v>46</v>
      </c>
      <c r="B121" t="s">
        <v>49</v>
      </c>
      <c r="C121" t="s">
        <v>53</v>
      </c>
      <c r="D121">
        <v>3689</v>
      </c>
      <c r="E121">
        <v>312</v>
      </c>
    </row>
    <row r="122" spans="1:5">
      <c r="A122" t="s">
        <v>39</v>
      </c>
      <c r="B122" t="s">
        <v>49</v>
      </c>
      <c r="C122" t="s">
        <v>27</v>
      </c>
      <c r="D122">
        <v>1568</v>
      </c>
      <c r="E122">
        <v>96</v>
      </c>
    </row>
    <row r="123" spans="1:5">
      <c r="A123" t="s">
        <v>7</v>
      </c>
      <c r="B123" t="s">
        <v>49</v>
      </c>
      <c r="C123" t="s">
        <v>50</v>
      </c>
      <c r="D123">
        <v>6748</v>
      </c>
      <c r="E123">
        <v>48</v>
      </c>
    </row>
    <row r="124" spans="1:5">
      <c r="A124" t="s">
        <v>25</v>
      </c>
      <c r="B124" t="s">
        <v>49</v>
      </c>
      <c r="C124" t="s">
        <v>50</v>
      </c>
      <c r="D124">
        <v>8008</v>
      </c>
      <c r="E124">
        <v>456</v>
      </c>
    </row>
    <row r="125" spans="1:5">
      <c r="A125" t="s">
        <v>54</v>
      </c>
      <c r="B125" t="s">
        <v>49</v>
      </c>
      <c r="C125" t="s">
        <v>27</v>
      </c>
      <c r="D125">
        <v>1428</v>
      </c>
      <c r="E125">
        <v>93</v>
      </c>
    </row>
    <row r="126" spans="1:5">
      <c r="A126" t="s">
        <v>25</v>
      </c>
      <c r="B126" t="s">
        <v>49</v>
      </c>
      <c r="C126" t="s">
        <v>18</v>
      </c>
      <c r="D126">
        <v>525</v>
      </c>
      <c r="E126">
        <v>48</v>
      </c>
    </row>
    <row r="127" spans="1:5">
      <c r="A127" t="s">
        <v>39</v>
      </c>
      <c r="B127" t="s">
        <v>49</v>
      </c>
      <c r="C127" t="s">
        <v>32</v>
      </c>
      <c r="D127">
        <v>7777</v>
      </c>
      <c r="E127">
        <v>39</v>
      </c>
    </row>
    <row r="128" spans="1:5">
      <c r="A128" t="s">
        <v>20</v>
      </c>
      <c r="B128" t="s">
        <v>49</v>
      </c>
      <c r="C128" t="s">
        <v>30</v>
      </c>
      <c r="D128">
        <v>7847</v>
      </c>
      <c r="E128">
        <v>174</v>
      </c>
    </row>
    <row r="129" spans="1:5">
      <c r="A129" t="s">
        <v>17</v>
      </c>
      <c r="B129" t="s">
        <v>49</v>
      </c>
      <c r="C129" t="s">
        <v>44</v>
      </c>
      <c r="D129">
        <v>6832</v>
      </c>
      <c r="E129">
        <v>27</v>
      </c>
    </row>
    <row r="130" spans="1:5">
      <c r="A130" t="s">
        <v>39</v>
      </c>
      <c r="B130" t="s">
        <v>49</v>
      </c>
      <c r="C130" t="s">
        <v>48</v>
      </c>
      <c r="D130">
        <v>8862</v>
      </c>
      <c r="E130">
        <v>189</v>
      </c>
    </row>
    <row r="131" spans="1:5">
      <c r="A131" t="s">
        <v>42</v>
      </c>
      <c r="B131" t="s">
        <v>49</v>
      </c>
      <c r="C131" t="s">
        <v>24</v>
      </c>
      <c r="D131">
        <v>7280</v>
      </c>
      <c r="E131">
        <v>201</v>
      </c>
    </row>
    <row r="132" spans="1:5">
      <c r="A132" t="s">
        <v>25</v>
      </c>
      <c r="B132" t="s">
        <v>49</v>
      </c>
      <c r="C132" t="s">
        <v>9</v>
      </c>
      <c r="D132">
        <v>3402</v>
      </c>
      <c r="E132">
        <v>366</v>
      </c>
    </row>
    <row r="133" spans="1:5">
      <c r="A133" t="s">
        <v>7</v>
      </c>
      <c r="B133" t="s">
        <v>49</v>
      </c>
      <c r="C133" t="s">
        <v>47</v>
      </c>
      <c r="D133">
        <v>2779</v>
      </c>
      <c r="E133">
        <v>75</v>
      </c>
    </row>
    <row r="134" spans="1:5">
      <c r="A134" t="s">
        <v>7</v>
      </c>
      <c r="B134" t="s">
        <v>49</v>
      </c>
      <c r="C134" t="s">
        <v>30</v>
      </c>
      <c r="D134">
        <v>3794</v>
      </c>
      <c r="E134">
        <v>159</v>
      </c>
    </row>
    <row r="135" spans="1:5">
      <c r="A135" t="s">
        <v>46</v>
      </c>
      <c r="B135" t="s">
        <v>49</v>
      </c>
      <c r="C135" t="s">
        <v>41</v>
      </c>
      <c r="D135">
        <v>2583</v>
      </c>
      <c r="E135">
        <v>18</v>
      </c>
    </row>
    <row r="136" spans="1:5">
      <c r="A136" t="s">
        <v>42</v>
      </c>
      <c r="B136" t="s">
        <v>49</v>
      </c>
      <c r="C136" t="s">
        <v>30</v>
      </c>
      <c r="D136">
        <v>1652</v>
      </c>
      <c r="E136">
        <v>93</v>
      </c>
    </row>
    <row r="137" spans="1:5">
      <c r="A137" t="s">
        <v>54</v>
      </c>
      <c r="B137" t="s">
        <v>49</v>
      </c>
      <c r="C137" t="s">
        <v>50</v>
      </c>
      <c r="D137">
        <v>4991</v>
      </c>
      <c r="E137">
        <v>9</v>
      </c>
    </row>
    <row r="138" spans="1:5">
      <c r="A138" t="s">
        <v>12</v>
      </c>
      <c r="B138" t="s">
        <v>49</v>
      </c>
      <c r="C138" t="s">
        <v>29</v>
      </c>
      <c r="D138">
        <v>2009</v>
      </c>
      <c r="E138">
        <v>219</v>
      </c>
    </row>
    <row r="139" spans="1:5">
      <c r="A139" t="s">
        <v>54</v>
      </c>
      <c r="B139" t="s">
        <v>49</v>
      </c>
      <c r="C139" t="s">
        <v>38</v>
      </c>
      <c r="D139">
        <v>5355</v>
      </c>
      <c r="E139">
        <v>204</v>
      </c>
    </row>
    <row r="140" spans="1:5">
      <c r="A140" t="s">
        <v>46</v>
      </c>
      <c r="B140" t="s">
        <v>49</v>
      </c>
      <c r="C140" t="s">
        <v>16</v>
      </c>
      <c r="D140">
        <v>7259</v>
      </c>
      <c r="E140">
        <v>276</v>
      </c>
    </row>
    <row r="141" spans="1:5">
      <c r="A141" t="s">
        <v>39</v>
      </c>
      <c r="B141" t="s">
        <v>49</v>
      </c>
      <c r="C141" t="s">
        <v>16</v>
      </c>
      <c r="D141">
        <v>1932</v>
      </c>
      <c r="E141">
        <v>369</v>
      </c>
    </row>
    <row r="142" spans="1:5">
      <c r="A142" t="s">
        <v>46</v>
      </c>
      <c r="B142" t="s">
        <v>49</v>
      </c>
      <c r="C142" t="s">
        <v>27</v>
      </c>
      <c r="D142">
        <v>6300</v>
      </c>
      <c r="E142">
        <v>42</v>
      </c>
    </row>
    <row r="143" spans="1:5">
      <c r="A143" t="s">
        <v>17</v>
      </c>
      <c r="B143" t="s">
        <v>49</v>
      </c>
      <c r="C143" t="s">
        <v>32</v>
      </c>
      <c r="D143">
        <v>707</v>
      </c>
      <c r="E143">
        <v>174</v>
      </c>
    </row>
    <row r="144" spans="1:5">
      <c r="A144" t="s">
        <v>20</v>
      </c>
      <c r="B144" t="s">
        <v>49</v>
      </c>
      <c r="C144" t="s">
        <v>29</v>
      </c>
      <c r="D144">
        <v>1274</v>
      </c>
      <c r="E144">
        <v>225</v>
      </c>
    </row>
    <row r="145" spans="1:5">
      <c r="A145" t="s">
        <v>17</v>
      </c>
      <c r="B145" t="s">
        <v>49</v>
      </c>
      <c r="C145" t="s">
        <v>29</v>
      </c>
      <c r="D145">
        <v>938</v>
      </c>
      <c r="E145">
        <v>189</v>
      </c>
    </row>
    <row r="146" spans="1:5">
      <c r="A146" t="s">
        <v>25</v>
      </c>
      <c r="B146" t="s">
        <v>49</v>
      </c>
      <c r="C146" t="s">
        <v>29</v>
      </c>
      <c r="D146">
        <v>2219</v>
      </c>
      <c r="E146">
        <v>75</v>
      </c>
    </row>
    <row r="147" spans="1:5">
      <c r="A147" t="s">
        <v>12</v>
      </c>
      <c r="B147" t="s">
        <v>49</v>
      </c>
      <c r="C147" t="s">
        <v>34</v>
      </c>
      <c r="D147">
        <v>3507</v>
      </c>
      <c r="E147">
        <v>288</v>
      </c>
    </row>
    <row r="148" spans="1:5">
      <c r="A148" t="s">
        <v>54</v>
      </c>
      <c r="B148" t="s">
        <v>49</v>
      </c>
      <c r="C148" t="s">
        <v>32</v>
      </c>
      <c r="D148">
        <v>700</v>
      </c>
      <c r="E148">
        <v>87</v>
      </c>
    </row>
    <row r="149" spans="1:5">
      <c r="A149" t="s">
        <v>25</v>
      </c>
      <c r="B149" t="s">
        <v>49</v>
      </c>
      <c r="C149" t="s">
        <v>32</v>
      </c>
      <c r="D149">
        <v>3759</v>
      </c>
      <c r="E149">
        <v>150</v>
      </c>
    </row>
    <row r="150" spans="1:5">
      <c r="A150" t="s">
        <v>25</v>
      </c>
      <c r="B150" t="s">
        <v>49</v>
      </c>
      <c r="C150" t="s">
        <v>14</v>
      </c>
      <c r="D150">
        <v>6734</v>
      </c>
      <c r="E150">
        <v>123</v>
      </c>
    </row>
    <row r="151" spans="1:5">
      <c r="A151" t="s">
        <v>42</v>
      </c>
      <c r="B151" t="s">
        <v>49</v>
      </c>
      <c r="C151" t="s">
        <v>36</v>
      </c>
      <c r="D151">
        <v>6279</v>
      </c>
      <c r="E151">
        <v>237</v>
      </c>
    </row>
    <row r="152" spans="1:5">
      <c r="A152" t="s">
        <v>46</v>
      </c>
      <c r="B152" t="s">
        <v>49</v>
      </c>
      <c r="C152" t="s">
        <v>47</v>
      </c>
      <c r="D152">
        <v>2212</v>
      </c>
      <c r="E152">
        <v>117</v>
      </c>
    </row>
    <row r="153" spans="1:5">
      <c r="A153" t="s">
        <v>39</v>
      </c>
      <c r="B153" t="s">
        <v>49</v>
      </c>
      <c r="C153" t="s">
        <v>24</v>
      </c>
      <c r="D153">
        <v>3829</v>
      </c>
      <c r="E153">
        <v>24</v>
      </c>
    </row>
    <row r="154" spans="1:5">
      <c r="A154" t="s">
        <v>46</v>
      </c>
      <c r="B154" t="s">
        <v>49</v>
      </c>
      <c r="C154" t="s">
        <v>32</v>
      </c>
      <c r="D154">
        <v>2919</v>
      </c>
      <c r="E154">
        <v>93</v>
      </c>
    </row>
    <row r="155" spans="1:5">
      <c r="A155" t="s">
        <v>45</v>
      </c>
      <c r="B155" t="s">
        <v>49</v>
      </c>
      <c r="C155" t="s">
        <v>38</v>
      </c>
      <c r="D155">
        <v>7511</v>
      </c>
      <c r="E155">
        <v>120</v>
      </c>
    </row>
    <row r="156" spans="1:5">
      <c r="A156" t="s">
        <v>20</v>
      </c>
      <c r="B156" t="s">
        <v>49</v>
      </c>
      <c r="C156" t="s">
        <v>47</v>
      </c>
      <c r="D156">
        <v>4935</v>
      </c>
      <c r="E156">
        <v>126</v>
      </c>
    </row>
    <row r="157" spans="1:5">
      <c r="A157" t="s">
        <v>54</v>
      </c>
      <c r="B157" t="s">
        <v>49</v>
      </c>
      <c r="C157" t="s">
        <v>36</v>
      </c>
      <c r="D157">
        <v>4053</v>
      </c>
      <c r="E157">
        <v>24</v>
      </c>
    </row>
    <row r="158" spans="1:5">
      <c r="A158" t="s">
        <v>7</v>
      </c>
      <c r="B158" t="s">
        <v>8</v>
      </c>
      <c r="C158" t="s">
        <v>9</v>
      </c>
      <c r="D158">
        <v>1624</v>
      </c>
      <c r="E158">
        <v>114</v>
      </c>
    </row>
    <row r="159" spans="1:5">
      <c r="A159" t="s">
        <v>42</v>
      </c>
      <c r="B159" t="s">
        <v>8</v>
      </c>
      <c r="C159" t="s">
        <v>16</v>
      </c>
      <c r="D159">
        <v>4991</v>
      </c>
      <c r="E159">
        <v>12</v>
      </c>
    </row>
    <row r="160" spans="1:5">
      <c r="A160" t="s">
        <v>46</v>
      </c>
      <c r="B160" t="s">
        <v>8</v>
      </c>
      <c r="C160" t="s">
        <v>32</v>
      </c>
      <c r="D160">
        <v>3983</v>
      </c>
      <c r="E160">
        <v>144</v>
      </c>
    </row>
    <row r="161" spans="1:5">
      <c r="A161" t="s">
        <v>25</v>
      </c>
      <c r="B161" t="s">
        <v>8</v>
      </c>
      <c r="C161" t="s">
        <v>34</v>
      </c>
      <c r="D161">
        <v>7693</v>
      </c>
      <c r="E161">
        <v>87</v>
      </c>
    </row>
    <row r="162" spans="1:5">
      <c r="A162" t="s">
        <v>12</v>
      </c>
      <c r="B162" t="s">
        <v>8</v>
      </c>
      <c r="C162" t="s">
        <v>38</v>
      </c>
      <c r="D162">
        <v>1771</v>
      </c>
      <c r="E162">
        <v>204</v>
      </c>
    </row>
    <row r="163" spans="1:5">
      <c r="A163" t="s">
        <v>54</v>
      </c>
      <c r="B163" t="s">
        <v>8</v>
      </c>
      <c r="C163" t="s">
        <v>47</v>
      </c>
      <c r="D163">
        <v>4683</v>
      </c>
      <c r="E163">
        <v>30</v>
      </c>
    </row>
    <row r="164" spans="1:5">
      <c r="A164" t="s">
        <v>20</v>
      </c>
      <c r="B164" t="s">
        <v>8</v>
      </c>
      <c r="C164" t="s">
        <v>48</v>
      </c>
      <c r="D164">
        <v>6398</v>
      </c>
      <c r="E164">
        <v>102</v>
      </c>
    </row>
    <row r="165" spans="1:5">
      <c r="A165" t="s">
        <v>25</v>
      </c>
      <c r="B165" t="s">
        <v>8</v>
      </c>
      <c r="C165" t="s">
        <v>29</v>
      </c>
      <c r="D165">
        <v>1904</v>
      </c>
      <c r="E165">
        <v>405</v>
      </c>
    </row>
    <row r="166" spans="1:5">
      <c r="A166" t="s">
        <v>45</v>
      </c>
      <c r="B166" t="s">
        <v>8</v>
      </c>
      <c r="C166" t="s">
        <v>38</v>
      </c>
      <c r="D166">
        <v>238</v>
      </c>
      <c r="E166">
        <v>18</v>
      </c>
    </row>
    <row r="167" spans="1:5">
      <c r="A167" t="s">
        <v>25</v>
      </c>
      <c r="B167" t="s">
        <v>8</v>
      </c>
      <c r="C167" t="s">
        <v>47</v>
      </c>
      <c r="D167">
        <v>4949</v>
      </c>
      <c r="E167">
        <v>189</v>
      </c>
    </row>
    <row r="168" spans="1:5">
      <c r="A168" t="s">
        <v>17</v>
      </c>
      <c r="B168" t="s">
        <v>8</v>
      </c>
      <c r="C168" t="s">
        <v>51</v>
      </c>
      <c r="D168">
        <v>1085</v>
      </c>
      <c r="E168">
        <v>273</v>
      </c>
    </row>
    <row r="169" spans="1:5">
      <c r="A169" t="s">
        <v>42</v>
      </c>
      <c r="B169" t="s">
        <v>8</v>
      </c>
      <c r="C169" t="s">
        <v>34</v>
      </c>
      <c r="D169">
        <v>182</v>
      </c>
      <c r="E169">
        <v>48</v>
      </c>
    </row>
    <row r="170" spans="1:5">
      <c r="A170" t="s">
        <v>12</v>
      </c>
      <c r="B170" t="s">
        <v>8</v>
      </c>
      <c r="C170" t="s">
        <v>24</v>
      </c>
      <c r="D170">
        <v>9709</v>
      </c>
      <c r="E170">
        <v>30</v>
      </c>
    </row>
    <row r="171" spans="1:5">
      <c r="A171" t="s">
        <v>39</v>
      </c>
      <c r="B171" t="s">
        <v>8</v>
      </c>
      <c r="C171" t="s">
        <v>32</v>
      </c>
      <c r="D171">
        <v>4487</v>
      </c>
      <c r="E171">
        <v>111</v>
      </c>
    </row>
    <row r="172" spans="1:5">
      <c r="A172" t="s">
        <v>7</v>
      </c>
      <c r="B172" t="s">
        <v>8</v>
      </c>
      <c r="C172" t="s">
        <v>38</v>
      </c>
      <c r="D172">
        <v>7693</v>
      </c>
      <c r="E172">
        <v>21</v>
      </c>
    </row>
    <row r="173" spans="1:5">
      <c r="A173" t="s">
        <v>17</v>
      </c>
      <c r="B173" t="s">
        <v>8</v>
      </c>
      <c r="C173" t="s">
        <v>47</v>
      </c>
      <c r="D173">
        <v>2737</v>
      </c>
      <c r="E173">
        <v>93</v>
      </c>
    </row>
    <row r="174" spans="1:5">
      <c r="A174" t="s">
        <v>17</v>
      </c>
      <c r="B174" t="s">
        <v>8</v>
      </c>
      <c r="C174" t="s">
        <v>27</v>
      </c>
      <c r="D174">
        <v>4305</v>
      </c>
      <c r="E174">
        <v>156</v>
      </c>
    </row>
    <row r="175" spans="1:5">
      <c r="A175" t="s">
        <v>20</v>
      </c>
      <c r="B175" t="s">
        <v>8</v>
      </c>
      <c r="C175" t="s">
        <v>44</v>
      </c>
      <c r="D175">
        <v>2933</v>
      </c>
      <c r="E175">
        <v>9</v>
      </c>
    </row>
    <row r="176" spans="1:5">
      <c r="A176" t="s">
        <v>39</v>
      </c>
      <c r="B176" t="s">
        <v>8</v>
      </c>
      <c r="C176" t="s">
        <v>16</v>
      </c>
      <c r="D176">
        <v>6608</v>
      </c>
      <c r="E176">
        <v>225</v>
      </c>
    </row>
    <row r="177" spans="1:5">
      <c r="A177" t="s">
        <v>25</v>
      </c>
      <c r="B177" t="s">
        <v>8</v>
      </c>
      <c r="C177" t="s">
        <v>22</v>
      </c>
      <c r="D177">
        <v>1505</v>
      </c>
      <c r="E177">
        <v>102</v>
      </c>
    </row>
    <row r="178" spans="1:5">
      <c r="A178" t="s">
        <v>45</v>
      </c>
      <c r="B178" t="s">
        <v>8</v>
      </c>
      <c r="C178" t="s">
        <v>22</v>
      </c>
      <c r="D178">
        <v>11571</v>
      </c>
      <c r="E178">
        <v>138</v>
      </c>
    </row>
    <row r="179" spans="1:5">
      <c r="A179" t="s">
        <v>20</v>
      </c>
      <c r="B179" t="s">
        <v>8</v>
      </c>
      <c r="C179" t="s">
        <v>9</v>
      </c>
      <c r="D179">
        <v>1526</v>
      </c>
      <c r="E179">
        <v>240</v>
      </c>
    </row>
    <row r="180" spans="1:5">
      <c r="A180" t="s">
        <v>39</v>
      </c>
      <c r="B180" t="s">
        <v>8</v>
      </c>
      <c r="C180" t="s">
        <v>30</v>
      </c>
      <c r="D180">
        <v>6391</v>
      </c>
      <c r="E180">
        <v>48</v>
      </c>
    </row>
    <row r="181" spans="1:5">
      <c r="A181" t="s">
        <v>42</v>
      </c>
      <c r="B181" t="s">
        <v>8</v>
      </c>
      <c r="C181" t="s">
        <v>36</v>
      </c>
      <c r="D181">
        <v>518</v>
      </c>
      <c r="E181">
        <v>75</v>
      </c>
    </row>
    <row r="182" spans="1:5">
      <c r="A182" t="s">
        <v>17</v>
      </c>
      <c r="B182" t="s">
        <v>8</v>
      </c>
      <c r="C182" t="s">
        <v>18</v>
      </c>
      <c r="D182">
        <v>259</v>
      </c>
      <c r="E182">
        <v>207</v>
      </c>
    </row>
    <row r="183" spans="1:5">
      <c r="A183" t="s">
        <v>12</v>
      </c>
      <c r="B183" t="s">
        <v>8</v>
      </c>
      <c r="C183" t="s">
        <v>9</v>
      </c>
      <c r="D183">
        <v>42</v>
      </c>
      <c r="E183">
        <v>150</v>
      </c>
    </row>
    <row r="184" spans="1:5">
      <c r="A184" t="s">
        <v>45</v>
      </c>
      <c r="B184" t="s">
        <v>8</v>
      </c>
      <c r="C184" t="s">
        <v>32</v>
      </c>
      <c r="D184">
        <v>9926</v>
      </c>
      <c r="E184">
        <v>201</v>
      </c>
    </row>
    <row r="185" spans="1:5">
      <c r="A185" t="s">
        <v>25</v>
      </c>
      <c r="B185" t="s">
        <v>8</v>
      </c>
      <c r="C185" t="s">
        <v>53</v>
      </c>
      <c r="D185">
        <v>3556</v>
      </c>
      <c r="E185">
        <v>459</v>
      </c>
    </row>
    <row r="186" spans="1:5">
      <c r="A186" t="s">
        <v>46</v>
      </c>
      <c r="B186" t="s">
        <v>8</v>
      </c>
      <c r="C186" t="s">
        <v>51</v>
      </c>
      <c r="D186">
        <v>4592</v>
      </c>
      <c r="E186">
        <v>324</v>
      </c>
    </row>
    <row r="187" spans="1:5">
      <c r="A187" t="s">
        <v>20</v>
      </c>
      <c r="B187" t="s">
        <v>8</v>
      </c>
      <c r="C187" t="s">
        <v>41</v>
      </c>
      <c r="D187">
        <v>3388</v>
      </c>
      <c r="E187">
        <v>123</v>
      </c>
    </row>
    <row r="188" spans="1:5">
      <c r="A188" t="s">
        <v>54</v>
      </c>
      <c r="B188" t="s">
        <v>8</v>
      </c>
      <c r="C188" t="s">
        <v>53</v>
      </c>
      <c r="D188">
        <v>3059</v>
      </c>
      <c r="E188">
        <v>27</v>
      </c>
    </row>
    <row r="189" spans="1:5">
      <c r="A189" t="s">
        <v>20</v>
      </c>
      <c r="B189" t="s">
        <v>8</v>
      </c>
      <c r="C189" t="s">
        <v>50</v>
      </c>
      <c r="D189">
        <v>2324</v>
      </c>
      <c r="E189">
        <v>177</v>
      </c>
    </row>
    <row r="190" spans="1:5">
      <c r="A190" t="s">
        <v>12</v>
      </c>
      <c r="B190" t="s">
        <v>8</v>
      </c>
      <c r="C190" t="s">
        <v>50</v>
      </c>
      <c r="D190">
        <v>6279</v>
      </c>
      <c r="E190">
        <v>45</v>
      </c>
    </row>
    <row r="191" spans="1:5">
      <c r="A191" t="s">
        <v>12</v>
      </c>
      <c r="B191" t="s">
        <v>8</v>
      </c>
      <c r="C191" t="s">
        <v>36</v>
      </c>
      <c r="D191">
        <v>1890</v>
      </c>
      <c r="E191">
        <v>195</v>
      </c>
    </row>
    <row r="192" spans="1:5">
      <c r="A192" t="s">
        <v>25</v>
      </c>
      <c r="B192" t="s">
        <v>8</v>
      </c>
      <c r="C192" t="s">
        <v>9</v>
      </c>
      <c r="D192">
        <v>560</v>
      </c>
      <c r="E192">
        <v>81</v>
      </c>
    </row>
    <row r="193" spans="1:5">
      <c r="A193" t="s">
        <v>17</v>
      </c>
      <c r="B193" t="s">
        <v>8</v>
      </c>
      <c r="C193" t="s">
        <v>50</v>
      </c>
      <c r="D193">
        <v>2856</v>
      </c>
      <c r="E193">
        <v>246</v>
      </c>
    </row>
    <row r="194" spans="1:5">
      <c r="A194" t="s">
        <v>45</v>
      </c>
      <c r="B194" t="s">
        <v>8</v>
      </c>
      <c r="C194" t="s">
        <v>16</v>
      </c>
      <c r="D194">
        <v>1057</v>
      </c>
      <c r="E194">
        <v>54</v>
      </c>
    </row>
    <row r="195" spans="1:5">
      <c r="A195" t="s">
        <v>39</v>
      </c>
      <c r="B195" t="s">
        <v>8</v>
      </c>
      <c r="C195" t="s">
        <v>50</v>
      </c>
      <c r="D195">
        <v>5306</v>
      </c>
      <c r="E195">
        <v>0</v>
      </c>
    </row>
    <row r="196" spans="1:5">
      <c r="A196" t="s">
        <v>39</v>
      </c>
      <c r="B196" t="s">
        <v>8</v>
      </c>
      <c r="C196" t="s">
        <v>36</v>
      </c>
      <c r="D196">
        <v>9835</v>
      </c>
      <c r="E196">
        <v>207</v>
      </c>
    </row>
    <row r="197" spans="1:5">
      <c r="A197" t="s">
        <v>17</v>
      </c>
      <c r="B197" t="s">
        <v>8</v>
      </c>
      <c r="C197" t="s">
        <v>41</v>
      </c>
      <c r="D197">
        <v>7273</v>
      </c>
      <c r="E197">
        <v>96</v>
      </c>
    </row>
    <row r="198" spans="1:5">
      <c r="A198" t="s">
        <v>17</v>
      </c>
      <c r="B198" t="s">
        <v>8</v>
      </c>
      <c r="C198" t="s">
        <v>53</v>
      </c>
      <c r="D198">
        <v>2919</v>
      </c>
      <c r="E198">
        <v>45</v>
      </c>
    </row>
    <row r="199" spans="1:5">
      <c r="A199" t="s">
        <v>42</v>
      </c>
      <c r="B199" t="s">
        <v>8</v>
      </c>
      <c r="C199" t="s">
        <v>27</v>
      </c>
      <c r="D199">
        <v>8813</v>
      </c>
      <c r="E199">
        <v>21</v>
      </c>
    </row>
    <row r="200" spans="1:5">
      <c r="A200" t="s">
        <v>46</v>
      </c>
      <c r="B200" t="s">
        <v>8</v>
      </c>
      <c r="C200" t="s">
        <v>53</v>
      </c>
      <c r="D200">
        <v>7308</v>
      </c>
      <c r="E200">
        <v>327</v>
      </c>
    </row>
    <row r="201" spans="1:5">
      <c r="A201" t="s">
        <v>7</v>
      </c>
      <c r="B201" t="s">
        <v>8</v>
      </c>
      <c r="C201" t="s">
        <v>52</v>
      </c>
      <c r="D201">
        <v>6132</v>
      </c>
      <c r="E201">
        <v>93</v>
      </c>
    </row>
    <row r="202" spans="1:5">
      <c r="A202" t="s">
        <v>54</v>
      </c>
      <c r="B202" t="s">
        <v>8</v>
      </c>
      <c r="C202" t="s">
        <v>44</v>
      </c>
      <c r="D202">
        <v>245</v>
      </c>
      <c r="E202">
        <v>288</v>
      </c>
    </row>
    <row r="203" spans="1:5">
      <c r="A203" t="s">
        <v>12</v>
      </c>
      <c r="B203" t="s">
        <v>8</v>
      </c>
      <c r="C203" t="s">
        <v>44</v>
      </c>
      <c r="D203">
        <v>434</v>
      </c>
      <c r="E203">
        <v>87</v>
      </c>
    </row>
    <row r="204" spans="1:5">
      <c r="A204" t="s">
        <v>45</v>
      </c>
      <c r="B204" t="s">
        <v>8</v>
      </c>
      <c r="C204" t="s">
        <v>24</v>
      </c>
      <c r="D204">
        <v>2863</v>
      </c>
      <c r="E204">
        <v>42</v>
      </c>
    </row>
    <row r="205" spans="1:5">
      <c r="A205" t="s">
        <v>25</v>
      </c>
      <c r="B205" t="s">
        <v>8</v>
      </c>
      <c r="C205" t="s">
        <v>50</v>
      </c>
      <c r="D205">
        <v>6818</v>
      </c>
      <c r="E205">
        <v>6</v>
      </c>
    </row>
    <row r="206" spans="1:5">
      <c r="A206" t="s">
        <v>7</v>
      </c>
      <c r="B206" t="s">
        <v>8</v>
      </c>
      <c r="C206" t="s">
        <v>51</v>
      </c>
      <c r="D206">
        <v>9002</v>
      </c>
      <c r="E206">
        <v>72</v>
      </c>
    </row>
    <row r="207" spans="1:5">
      <c r="A207" t="s">
        <v>39</v>
      </c>
      <c r="B207" t="s">
        <v>8</v>
      </c>
      <c r="C207" t="s">
        <v>9</v>
      </c>
      <c r="D207">
        <v>6454</v>
      </c>
      <c r="E207">
        <v>54</v>
      </c>
    </row>
    <row r="208" spans="1:5">
      <c r="A208" t="s">
        <v>39</v>
      </c>
      <c r="B208" t="s">
        <v>8</v>
      </c>
      <c r="C208" t="s">
        <v>29</v>
      </c>
      <c r="D208">
        <v>4487</v>
      </c>
      <c r="E208">
        <v>333</v>
      </c>
    </row>
    <row r="209" spans="1:5">
      <c r="A209" t="s">
        <v>46</v>
      </c>
      <c r="B209" t="s">
        <v>8</v>
      </c>
      <c r="C209" t="s">
        <v>18</v>
      </c>
      <c r="D209">
        <v>938</v>
      </c>
      <c r="E209">
        <v>366</v>
      </c>
    </row>
    <row r="210" spans="1:5">
      <c r="A210" t="s">
        <v>20</v>
      </c>
      <c r="B210" t="s">
        <v>8</v>
      </c>
      <c r="C210" t="s">
        <v>24</v>
      </c>
      <c r="D210">
        <v>714</v>
      </c>
      <c r="E210">
        <v>231</v>
      </c>
    </row>
    <row r="211" spans="1:5">
      <c r="A211" t="s">
        <v>25</v>
      </c>
      <c r="B211" t="s">
        <v>26</v>
      </c>
      <c r="C211" t="s">
        <v>27</v>
      </c>
      <c r="D211">
        <v>2100</v>
      </c>
      <c r="E211">
        <v>414</v>
      </c>
    </row>
    <row r="212" spans="1:5">
      <c r="A212" t="s">
        <v>45</v>
      </c>
      <c r="B212" t="s">
        <v>26</v>
      </c>
      <c r="C212" t="s">
        <v>27</v>
      </c>
      <c r="D212">
        <v>1785</v>
      </c>
      <c r="E212">
        <v>462</v>
      </c>
    </row>
    <row r="213" spans="1:5">
      <c r="A213" t="s">
        <v>45</v>
      </c>
      <c r="B213" t="s">
        <v>26</v>
      </c>
      <c r="C213" t="s">
        <v>41</v>
      </c>
      <c r="D213">
        <v>9443</v>
      </c>
      <c r="E213">
        <v>162</v>
      </c>
    </row>
    <row r="214" spans="1:5">
      <c r="A214" t="s">
        <v>46</v>
      </c>
      <c r="B214" t="s">
        <v>26</v>
      </c>
      <c r="C214" t="s">
        <v>29</v>
      </c>
      <c r="D214">
        <v>21</v>
      </c>
      <c r="E214">
        <v>168</v>
      </c>
    </row>
    <row r="215" spans="1:5">
      <c r="A215" t="s">
        <v>12</v>
      </c>
      <c r="B215" t="s">
        <v>26</v>
      </c>
      <c r="C215" t="s">
        <v>9</v>
      </c>
      <c r="D215">
        <v>7021</v>
      </c>
      <c r="E215">
        <v>183</v>
      </c>
    </row>
    <row r="216" spans="1:5">
      <c r="A216" t="s">
        <v>7</v>
      </c>
      <c r="B216" t="s">
        <v>26</v>
      </c>
      <c r="C216" t="s">
        <v>36</v>
      </c>
      <c r="D216">
        <v>5817</v>
      </c>
      <c r="E216">
        <v>12</v>
      </c>
    </row>
    <row r="217" spans="1:5">
      <c r="A217" t="s">
        <v>20</v>
      </c>
      <c r="B217" t="s">
        <v>26</v>
      </c>
      <c r="C217" t="s">
        <v>16</v>
      </c>
      <c r="D217">
        <v>3976</v>
      </c>
      <c r="E217">
        <v>72</v>
      </c>
    </row>
    <row r="218" spans="1:5">
      <c r="A218" t="s">
        <v>45</v>
      </c>
      <c r="B218" t="s">
        <v>26</v>
      </c>
      <c r="C218" t="s">
        <v>53</v>
      </c>
      <c r="D218">
        <v>6027</v>
      </c>
      <c r="E218">
        <v>144</v>
      </c>
    </row>
    <row r="219" spans="1:5">
      <c r="A219" t="s">
        <v>12</v>
      </c>
      <c r="B219" t="s">
        <v>26</v>
      </c>
      <c r="C219" t="s">
        <v>34</v>
      </c>
      <c r="D219">
        <v>8890</v>
      </c>
      <c r="E219">
        <v>210</v>
      </c>
    </row>
    <row r="220" spans="1:5">
      <c r="A220" t="s">
        <v>45</v>
      </c>
      <c r="B220" t="s">
        <v>26</v>
      </c>
      <c r="C220" t="s">
        <v>52</v>
      </c>
      <c r="D220">
        <v>7812</v>
      </c>
      <c r="E220">
        <v>81</v>
      </c>
    </row>
    <row r="221" spans="1:5">
      <c r="A221" t="s">
        <v>42</v>
      </c>
      <c r="B221" t="s">
        <v>26</v>
      </c>
      <c r="C221" t="s">
        <v>50</v>
      </c>
      <c r="D221">
        <v>5236</v>
      </c>
      <c r="E221">
        <v>51</v>
      </c>
    </row>
    <row r="222" spans="1:5">
      <c r="A222" t="s">
        <v>39</v>
      </c>
      <c r="B222" t="s">
        <v>26</v>
      </c>
      <c r="C222" t="s">
        <v>32</v>
      </c>
      <c r="D222">
        <v>4438</v>
      </c>
      <c r="E222">
        <v>246</v>
      </c>
    </row>
    <row r="223" spans="1:5">
      <c r="A223" t="s">
        <v>25</v>
      </c>
      <c r="B223" t="s">
        <v>26</v>
      </c>
      <c r="C223" t="s">
        <v>32</v>
      </c>
      <c r="D223">
        <v>6048</v>
      </c>
      <c r="E223">
        <v>27</v>
      </c>
    </row>
    <row r="224" spans="1:5">
      <c r="A224" t="s">
        <v>25</v>
      </c>
      <c r="B224" t="s">
        <v>26</v>
      </c>
      <c r="C224" t="s">
        <v>51</v>
      </c>
      <c r="D224">
        <v>3052</v>
      </c>
      <c r="E224">
        <v>378</v>
      </c>
    </row>
    <row r="225" spans="1:5">
      <c r="A225" t="s">
        <v>45</v>
      </c>
      <c r="B225" t="s">
        <v>26</v>
      </c>
      <c r="C225" t="s">
        <v>29</v>
      </c>
      <c r="D225">
        <v>2016</v>
      </c>
      <c r="E225">
        <v>117</v>
      </c>
    </row>
    <row r="226" spans="1:5">
      <c r="A226" t="s">
        <v>17</v>
      </c>
      <c r="B226" t="s">
        <v>26</v>
      </c>
      <c r="C226" t="s">
        <v>27</v>
      </c>
      <c r="D226">
        <v>3192</v>
      </c>
      <c r="E226">
        <v>72</v>
      </c>
    </row>
    <row r="227" spans="1:5">
      <c r="A227" t="s">
        <v>7</v>
      </c>
      <c r="B227" t="s">
        <v>26</v>
      </c>
      <c r="C227" t="s">
        <v>51</v>
      </c>
      <c r="D227">
        <v>0</v>
      </c>
      <c r="E227">
        <v>135</v>
      </c>
    </row>
    <row r="228" spans="1:5">
      <c r="A228" t="s">
        <v>45</v>
      </c>
      <c r="B228" t="s">
        <v>26</v>
      </c>
      <c r="C228" t="s">
        <v>44</v>
      </c>
      <c r="D228">
        <v>7651</v>
      </c>
      <c r="E228">
        <v>213</v>
      </c>
    </row>
    <row r="229" spans="1:5">
      <c r="A229" t="s">
        <v>54</v>
      </c>
      <c r="B229" t="s">
        <v>26</v>
      </c>
      <c r="C229" t="s">
        <v>30</v>
      </c>
      <c r="D229">
        <v>12950</v>
      </c>
      <c r="E229">
        <v>30</v>
      </c>
    </row>
    <row r="230" spans="1:5">
      <c r="A230" t="s">
        <v>45</v>
      </c>
      <c r="B230" t="s">
        <v>26</v>
      </c>
      <c r="C230" t="s">
        <v>36</v>
      </c>
      <c r="D230">
        <v>1568</v>
      </c>
      <c r="E230">
        <v>141</v>
      </c>
    </row>
    <row r="231" spans="1:5">
      <c r="A231" t="s">
        <v>12</v>
      </c>
      <c r="B231" t="s">
        <v>26</v>
      </c>
      <c r="C231" t="s">
        <v>50</v>
      </c>
      <c r="D231">
        <v>1561</v>
      </c>
      <c r="E231">
        <v>27</v>
      </c>
    </row>
    <row r="232" spans="1:5">
      <c r="A232" t="s">
        <v>46</v>
      </c>
      <c r="B232" t="s">
        <v>26</v>
      </c>
      <c r="C232" t="s">
        <v>50</v>
      </c>
      <c r="D232">
        <v>4956</v>
      </c>
      <c r="E232">
        <v>171</v>
      </c>
    </row>
    <row r="233" spans="1:5">
      <c r="A233" t="s">
        <v>17</v>
      </c>
      <c r="B233" t="s">
        <v>26</v>
      </c>
      <c r="C233" t="s">
        <v>22</v>
      </c>
      <c r="D233">
        <v>2639</v>
      </c>
      <c r="E233">
        <v>204</v>
      </c>
    </row>
    <row r="234" spans="1:5">
      <c r="A234" t="s">
        <v>7</v>
      </c>
      <c r="B234" t="s">
        <v>26</v>
      </c>
      <c r="C234" t="s">
        <v>53</v>
      </c>
      <c r="D234">
        <v>3101</v>
      </c>
      <c r="E234">
        <v>225</v>
      </c>
    </row>
    <row r="235" spans="1:5">
      <c r="A235" t="s">
        <v>42</v>
      </c>
      <c r="B235" t="s">
        <v>26</v>
      </c>
      <c r="C235" t="s">
        <v>48</v>
      </c>
      <c r="D235">
        <v>4018</v>
      </c>
      <c r="E235">
        <v>171</v>
      </c>
    </row>
    <row r="236" spans="1:5">
      <c r="A236" t="s">
        <v>25</v>
      </c>
      <c r="B236" t="s">
        <v>26</v>
      </c>
      <c r="C236" t="s">
        <v>9</v>
      </c>
      <c r="D236">
        <v>1638</v>
      </c>
      <c r="E236">
        <v>63</v>
      </c>
    </row>
    <row r="237" spans="1:5">
      <c r="A237" t="s">
        <v>42</v>
      </c>
      <c r="B237" t="s">
        <v>26</v>
      </c>
      <c r="C237" t="s">
        <v>36</v>
      </c>
      <c r="D237">
        <v>6909</v>
      </c>
      <c r="E237">
        <v>81</v>
      </c>
    </row>
    <row r="238" spans="1:5">
      <c r="A238" t="s">
        <v>17</v>
      </c>
      <c r="B238" t="s">
        <v>26</v>
      </c>
      <c r="C238" t="s">
        <v>48</v>
      </c>
      <c r="D238">
        <v>3920</v>
      </c>
      <c r="E238">
        <v>306</v>
      </c>
    </row>
    <row r="239" spans="1:5">
      <c r="A239" t="s">
        <v>54</v>
      </c>
      <c r="B239" t="s">
        <v>26</v>
      </c>
      <c r="C239" t="s">
        <v>44</v>
      </c>
      <c r="D239">
        <v>4858</v>
      </c>
      <c r="E239">
        <v>279</v>
      </c>
    </row>
    <row r="240" spans="1:5">
      <c r="A240" t="s">
        <v>39</v>
      </c>
      <c r="B240" t="s">
        <v>26</v>
      </c>
      <c r="C240" t="s">
        <v>52</v>
      </c>
      <c r="D240">
        <v>966</v>
      </c>
      <c r="E240">
        <v>198</v>
      </c>
    </row>
    <row r="241" spans="1:5">
      <c r="A241" t="s">
        <v>42</v>
      </c>
      <c r="B241" t="s">
        <v>26</v>
      </c>
      <c r="C241" t="s">
        <v>22</v>
      </c>
      <c r="D241">
        <v>385</v>
      </c>
      <c r="E241">
        <v>249</v>
      </c>
    </row>
    <row r="242" spans="1:5">
      <c r="A242" t="s">
        <v>45</v>
      </c>
      <c r="B242" t="s">
        <v>26</v>
      </c>
      <c r="C242" t="s">
        <v>24</v>
      </c>
      <c r="D242">
        <v>4802</v>
      </c>
      <c r="E242">
        <v>36</v>
      </c>
    </row>
    <row r="243" spans="1:5">
      <c r="A243" t="s">
        <v>7</v>
      </c>
      <c r="B243" t="s">
        <v>26</v>
      </c>
      <c r="C243" t="s">
        <v>52</v>
      </c>
      <c r="D243">
        <v>6370</v>
      </c>
      <c r="E243">
        <v>30</v>
      </c>
    </row>
    <row r="244" spans="1:5">
      <c r="A244" t="s">
        <v>12</v>
      </c>
      <c r="B244" t="s">
        <v>26</v>
      </c>
      <c r="C244" t="s">
        <v>22</v>
      </c>
      <c r="D244">
        <v>9660</v>
      </c>
      <c r="E244">
        <v>27</v>
      </c>
    </row>
    <row r="245" spans="1:5">
      <c r="A245" t="s">
        <v>46</v>
      </c>
      <c r="B245" t="s">
        <v>26</v>
      </c>
      <c r="C245" t="s">
        <v>53</v>
      </c>
      <c r="D245">
        <v>1652</v>
      </c>
      <c r="E245">
        <v>102</v>
      </c>
    </row>
    <row r="246" spans="1:5">
      <c r="A246" t="s">
        <v>7</v>
      </c>
      <c r="B246" t="s">
        <v>26</v>
      </c>
      <c r="C246" t="s">
        <v>24</v>
      </c>
      <c r="D246">
        <v>5775</v>
      </c>
      <c r="E246">
        <v>42</v>
      </c>
    </row>
    <row r="247" spans="1:5">
      <c r="A247" t="s">
        <v>25</v>
      </c>
      <c r="B247" t="s">
        <v>26</v>
      </c>
      <c r="C247" t="s">
        <v>48</v>
      </c>
      <c r="D247">
        <v>2989</v>
      </c>
      <c r="E247">
        <v>3</v>
      </c>
    </row>
    <row r="248" spans="1:5">
      <c r="A248" t="s">
        <v>46</v>
      </c>
      <c r="B248" t="s">
        <v>26</v>
      </c>
      <c r="C248" t="s">
        <v>51</v>
      </c>
      <c r="D248">
        <v>3640</v>
      </c>
      <c r="E248">
        <v>51</v>
      </c>
    </row>
    <row r="249" spans="1:5">
      <c r="A249" t="s">
        <v>45</v>
      </c>
      <c r="B249" t="s">
        <v>26</v>
      </c>
      <c r="C249" t="s">
        <v>47</v>
      </c>
      <c r="D249">
        <v>630</v>
      </c>
      <c r="E249">
        <v>36</v>
      </c>
    </row>
    <row r="250" spans="1:5">
      <c r="A250" t="s">
        <v>45</v>
      </c>
      <c r="B250" t="s">
        <v>26</v>
      </c>
      <c r="C250" t="s">
        <v>30</v>
      </c>
      <c r="D250">
        <v>4018</v>
      </c>
      <c r="E250">
        <v>126</v>
      </c>
    </row>
    <row r="251" spans="1:5">
      <c r="A251" t="s">
        <v>12</v>
      </c>
      <c r="B251" t="s">
        <v>13</v>
      </c>
      <c r="C251" t="s">
        <v>14</v>
      </c>
      <c r="D251">
        <v>6706</v>
      </c>
      <c r="E251">
        <v>459</v>
      </c>
    </row>
    <row r="252" spans="1:5">
      <c r="A252" t="s">
        <v>17</v>
      </c>
      <c r="B252" t="s">
        <v>13</v>
      </c>
      <c r="C252" t="s">
        <v>18</v>
      </c>
      <c r="D252">
        <v>959</v>
      </c>
      <c r="E252">
        <v>147</v>
      </c>
    </row>
    <row r="253" spans="1:5">
      <c r="A253" t="s">
        <v>7</v>
      </c>
      <c r="B253" t="s">
        <v>13</v>
      </c>
      <c r="C253" t="s">
        <v>30</v>
      </c>
      <c r="D253">
        <v>8869</v>
      </c>
      <c r="E253">
        <v>432</v>
      </c>
    </row>
    <row r="254" spans="1:5">
      <c r="A254" t="s">
        <v>12</v>
      </c>
      <c r="B254" t="s">
        <v>13</v>
      </c>
      <c r="C254" t="s">
        <v>36</v>
      </c>
      <c r="D254">
        <v>5012</v>
      </c>
      <c r="E254">
        <v>210</v>
      </c>
    </row>
    <row r="255" spans="1:5">
      <c r="A255" t="s">
        <v>46</v>
      </c>
      <c r="B255" t="s">
        <v>13</v>
      </c>
      <c r="C255" t="s">
        <v>27</v>
      </c>
      <c r="D255">
        <v>2464</v>
      </c>
      <c r="E255">
        <v>234</v>
      </c>
    </row>
    <row r="256" spans="1:5">
      <c r="A256" t="s">
        <v>46</v>
      </c>
      <c r="B256" t="s">
        <v>13</v>
      </c>
      <c r="C256" t="s">
        <v>51</v>
      </c>
      <c r="D256">
        <v>2114</v>
      </c>
      <c r="E256">
        <v>66</v>
      </c>
    </row>
    <row r="257" spans="1:5">
      <c r="A257" t="s">
        <v>20</v>
      </c>
      <c r="B257" t="s">
        <v>13</v>
      </c>
      <c r="C257" t="s">
        <v>24</v>
      </c>
      <c r="D257">
        <v>2114</v>
      </c>
      <c r="E257">
        <v>186</v>
      </c>
    </row>
    <row r="258" spans="1:5">
      <c r="A258" t="s">
        <v>54</v>
      </c>
      <c r="B258" t="s">
        <v>13</v>
      </c>
      <c r="C258" t="s">
        <v>41</v>
      </c>
      <c r="D258">
        <v>1974</v>
      </c>
      <c r="E258">
        <v>195</v>
      </c>
    </row>
    <row r="259" spans="1:5">
      <c r="A259" t="s">
        <v>45</v>
      </c>
      <c r="B259" t="s">
        <v>13</v>
      </c>
      <c r="C259" t="s">
        <v>38</v>
      </c>
      <c r="D259">
        <v>553</v>
      </c>
      <c r="E259">
        <v>15</v>
      </c>
    </row>
    <row r="260" spans="1:5">
      <c r="A260" t="s">
        <v>46</v>
      </c>
      <c r="B260" t="s">
        <v>13</v>
      </c>
      <c r="C260" t="s">
        <v>16</v>
      </c>
      <c r="D260">
        <v>2415</v>
      </c>
      <c r="E260">
        <v>255</v>
      </c>
    </row>
    <row r="261" spans="1:5">
      <c r="A261" t="s">
        <v>20</v>
      </c>
      <c r="B261" t="s">
        <v>13</v>
      </c>
      <c r="C261" t="s">
        <v>11</v>
      </c>
      <c r="D261">
        <v>4760</v>
      </c>
      <c r="E261">
        <v>69</v>
      </c>
    </row>
    <row r="262" spans="1:5">
      <c r="A262" t="s">
        <v>42</v>
      </c>
      <c r="B262" t="s">
        <v>13</v>
      </c>
      <c r="C262" t="s">
        <v>22</v>
      </c>
      <c r="D262">
        <v>2415</v>
      </c>
      <c r="E262">
        <v>15</v>
      </c>
    </row>
    <row r="263" spans="1:5">
      <c r="A263" t="s">
        <v>17</v>
      </c>
      <c r="B263" t="s">
        <v>13</v>
      </c>
      <c r="C263" t="s">
        <v>50</v>
      </c>
      <c r="D263">
        <v>98</v>
      </c>
      <c r="E263">
        <v>159</v>
      </c>
    </row>
    <row r="264" spans="1:5">
      <c r="A264" t="s">
        <v>42</v>
      </c>
      <c r="B264" t="s">
        <v>13</v>
      </c>
      <c r="C264" t="s">
        <v>24</v>
      </c>
      <c r="D264">
        <v>13391</v>
      </c>
      <c r="E264">
        <v>201</v>
      </c>
    </row>
    <row r="265" spans="1:5">
      <c r="A265" t="s">
        <v>54</v>
      </c>
      <c r="B265" t="s">
        <v>13</v>
      </c>
      <c r="C265" t="s">
        <v>22</v>
      </c>
      <c r="D265">
        <v>3808</v>
      </c>
      <c r="E265">
        <v>279</v>
      </c>
    </row>
    <row r="266" spans="1:5">
      <c r="A266" t="s">
        <v>54</v>
      </c>
      <c r="B266" t="s">
        <v>13</v>
      </c>
      <c r="C266" t="s">
        <v>44</v>
      </c>
      <c r="D266">
        <v>567</v>
      </c>
      <c r="E266">
        <v>228</v>
      </c>
    </row>
    <row r="267" spans="1:5">
      <c r="A267" t="s">
        <v>20</v>
      </c>
      <c r="B267" t="s">
        <v>13</v>
      </c>
      <c r="C267" t="s">
        <v>53</v>
      </c>
      <c r="D267">
        <v>7455</v>
      </c>
      <c r="E267">
        <v>216</v>
      </c>
    </row>
    <row r="268" spans="1:5">
      <c r="A268" t="s">
        <v>7</v>
      </c>
      <c r="B268" t="s">
        <v>13</v>
      </c>
      <c r="C268" t="s">
        <v>14</v>
      </c>
      <c r="D268">
        <v>12348</v>
      </c>
      <c r="E268">
        <v>234</v>
      </c>
    </row>
    <row r="269" spans="1:5">
      <c r="A269" t="s">
        <v>42</v>
      </c>
      <c r="B269" t="s">
        <v>13</v>
      </c>
      <c r="C269" t="s">
        <v>18</v>
      </c>
      <c r="D269">
        <v>2744</v>
      </c>
      <c r="E269">
        <v>9</v>
      </c>
    </row>
    <row r="270" spans="1:5">
      <c r="A270" t="s">
        <v>12</v>
      </c>
      <c r="B270" t="s">
        <v>13</v>
      </c>
      <c r="C270" t="s">
        <v>51</v>
      </c>
      <c r="D270">
        <v>2023</v>
      </c>
      <c r="E270">
        <v>168</v>
      </c>
    </row>
    <row r="271" spans="1:5">
      <c r="A271" t="s">
        <v>39</v>
      </c>
      <c r="B271" t="s">
        <v>13</v>
      </c>
      <c r="C271" t="s">
        <v>9</v>
      </c>
      <c r="D271">
        <v>6755</v>
      </c>
      <c r="E271">
        <v>252</v>
      </c>
    </row>
    <row r="272" spans="1:5">
      <c r="A272" t="s">
        <v>20</v>
      </c>
      <c r="B272" t="s">
        <v>13</v>
      </c>
      <c r="C272" t="s">
        <v>52</v>
      </c>
      <c r="D272">
        <v>847</v>
      </c>
      <c r="E272">
        <v>129</v>
      </c>
    </row>
    <row r="273" spans="1:5">
      <c r="A273" t="s">
        <v>12</v>
      </c>
      <c r="B273" t="s">
        <v>13</v>
      </c>
      <c r="C273" t="s">
        <v>52</v>
      </c>
      <c r="D273">
        <v>4753</v>
      </c>
      <c r="E273">
        <v>300</v>
      </c>
    </row>
    <row r="274" spans="1:5">
      <c r="A274" t="s">
        <v>39</v>
      </c>
      <c r="B274" t="s">
        <v>13</v>
      </c>
      <c r="C274" t="s">
        <v>48</v>
      </c>
      <c r="D274">
        <v>2793</v>
      </c>
      <c r="E274">
        <v>114</v>
      </c>
    </row>
    <row r="275" spans="1:5">
      <c r="A275" t="s">
        <v>39</v>
      </c>
      <c r="B275" t="s">
        <v>13</v>
      </c>
      <c r="C275" t="s">
        <v>16</v>
      </c>
      <c r="D275">
        <v>4606</v>
      </c>
      <c r="E275">
        <v>63</v>
      </c>
    </row>
    <row r="276" spans="1:5">
      <c r="A276" t="s">
        <v>42</v>
      </c>
      <c r="B276" t="s">
        <v>13</v>
      </c>
      <c r="C276" t="s">
        <v>51</v>
      </c>
      <c r="D276">
        <v>4480</v>
      </c>
      <c r="E276">
        <v>357</v>
      </c>
    </row>
    <row r="277" spans="1:5">
      <c r="A277" t="s">
        <v>39</v>
      </c>
      <c r="B277" t="s">
        <v>13</v>
      </c>
      <c r="C277" t="s">
        <v>52</v>
      </c>
      <c r="D277">
        <v>2478</v>
      </c>
      <c r="E277">
        <v>21</v>
      </c>
    </row>
    <row r="278" spans="1:5">
      <c r="A278" t="s">
        <v>12</v>
      </c>
      <c r="B278" t="s">
        <v>13</v>
      </c>
      <c r="C278" t="s">
        <v>30</v>
      </c>
      <c r="D278">
        <v>357</v>
      </c>
      <c r="E278">
        <v>126</v>
      </c>
    </row>
    <row r="279" spans="1:5">
      <c r="A279" t="s">
        <v>17</v>
      </c>
      <c r="B279" t="s">
        <v>13</v>
      </c>
      <c r="C279" t="s">
        <v>24</v>
      </c>
      <c r="D279">
        <v>7833</v>
      </c>
      <c r="E279">
        <v>243</v>
      </c>
    </row>
    <row r="280" spans="1:5">
      <c r="A280" t="s">
        <v>7</v>
      </c>
      <c r="B280" t="s">
        <v>13</v>
      </c>
      <c r="C280" t="s">
        <v>9</v>
      </c>
      <c r="D280">
        <v>2275</v>
      </c>
      <c r="E280">
        <v>447</v>
      </c>
    </row>
    <row r="281" spans="1:5">
      <c r="A281" t="s">
        <v>39</v>
      </c>
      <c r="B281" t="s">
        <v>13</v>
      </c>
      <c r="C281" t="s">
        <v>29</v>
      </c>
      <c r="D281">
        <v>2135</v>
      </c>
      <c r="E281">
        <v>27</v>
      </c>
    </row>
    <row r="282" spans="1:5">
      <c r="A282" t="s">
        <v>46</v>
      </c>
      <c r="B282" t="s">
        <v>13</v>
      </c>
      <c r="C282" t="s">
        <v>30</v>
      </c>
      <c r="D282">
        <v>819</v>
      </c>
      <c r="E282">
        <v>306</v>
      </c>
    </row>
    <row r="283" spans="1:5">
      <c r="A283" t="s">
        <v>39</v>
      </c>
      <c r="B283" t="s">
        <v>13</v>
      </c>
      <c r="C283" t="s">
        <v>38</v>
      </c>
      <c r="D283">
        <v>4585</v>
      </c>
      <c r="E283">
        <v>240</v>
      </c>
    </row>
    <row r="284" spans="1:5">
      <c r="A284" t="s">
        <v>25</v>
      </c>
      <c r="B284" t="s">
        <v>13</v>
      </c>
      <c r="C284" t="s">
        <v>52</v>
      </c>
      <c r="D284">
        <v>3864</v>
      </c>
      <c r="E284">
        <v>177</v>
      </c>
    </row>
    <row r="285" spans="1:5">
      <c r="A285" t="s">
        <v>12</v>
      </c>
      <c r="B285" t="s">
        <v>13</v>
      </c>
      <c r="C285" t="s">
        <v>9</v>
      </c>
      <c r="D285">
        <v>3598</v>
      </c>
      <c r="E285">
        <v>81</v>
      </c>
    </row>
    <row r="286" spans="1:5">
      <c r="A286" t="s">
        <v>7</v>
      </c>
      <c r="B286" t="s">
        <v>13</v>
      </c>
      <c r="C286" t="s">
        <v>36</v>
      </c>
      <c r="D286">
        <v>6853</v>
      </c>
      <c r="E286">
        <v>372</v>
      </c>
    </row>
    <row r="287" spans="1:5">
      <c r="A287" t="s">
        <v>7</v>
      </c>
      <c r="B287" t="s">
        <v>13</v>
      </c>
      <c r="C287" t="s">
        <v>29</v>
      </c>
      <c r="D287">
        <v>4725</v>
      </c>
      <c r="E287">
        <v>174</v>
      </c>
    </row>
    <row r="288" spans="1:5">
      <c r="A288" t="s">
        <v>46</v>
      </c>
      <c r="B288" t="s">
        <v>13</v>
      </c>
      <c r="C288" t="s">
        <v>47</v>
      </c>
      <c r="D288">
        <v>2023</v>
      </c>
      <c r="E288">
        <v>78</v>
      </c>
    </row>
    <row r="289" spans="1:5">
      <c r="A289" t="s">
        <v>54</v>
      </c>
      <c r="B289" t="s">
        <v>13</v>
      </c>
      <c r="C289" t="s">
        <v>24</v>
      </c>
      <c r="D289">
        <v>2562</v>
      </c>
      <c r="E289">
        <v>6</v>
      </c>
    </row>
    <row r="290" spans="1:5">
      <c r="A290" t="s">
        <v>25</v>
      </c>
      <c r="B290" t="s">
        <v>13</v>
      </c>
      <c r="C290" t="s">
        <v>18</v>
      </c>
      <c r="D290">
        <v>1302</v>
      </c>
      <c r="E290">
        <v>402</v>
      </c>
    </row>
    <row r="291" spans="1:5">
      <c r="A291" t="s">
        <v>54</v>
      </c>
      <c r="B291" t="s">
        <v>13</v>
      </c>
      <c r="C291" t="s">
        <v>16</v>
      </c>
      <c r="D291">
        <v>3472</v>
      </c>
      <c r="E291">
        <v>96</v>
      </c>
    </row>
    <row r="292" spans="1:5">
      <c r="A292" t="s">
        <v>12</v>
      </c>
      <c r="B292" t="s">
        <v>13</v>
      </c>
      <c r="C292" t="s">
        <v>41</v>
      </c>
      <c r="D292">
        <v>2702</v>
      </c>
      <c r="E292">
        <v>363</v>
      </c>
    </row>
    <row r="293" spans="1:5">
      <c r="A293" t="s">
        <v>45</v>
      </c>
      <c r="B293" t="s">
        <v>13</v>
      </c>
      <c r="C293" t="s">
        <v>32</v>
      </c>
      <c r="D293">
        <v>1589</v>
      </c>
      <c r="E293">
        <v>303</v>
      </c>
    </row>
    <row r="294" spans="1:5">
      <c r="A294" t="s">
        <v>39</v>
      </c>
      <c r="B294" t="s">
        <v>13</v>
      </c>
      <c r="C294" t="s">
        <v>53</v>
      </c>
      <c r="D294">
        <v>5194</v>
      </c>
      <c r="E294">
        <v>288</v>
      </c>
    </row>
    <row r="295" spans="1:5">
      <c r="A295" t="s">
        <v>42</v>
      </c>
      <c r="B295" t="s">
        <v>13</v>
      </c>
      <c r="C295" t="s">
        <v>36</v>
      </c>
      <c r="D295">
        <v>490</v>
      </c>
      <c r="E295">
        <v>84</v>
      </c>
    </row>
    <row r="296" spans="1:5">
      <c r="A296" t="s">
        <v>20</v>
      </c>
      <c r="B296" t="s">
        <v>13</v>
      </c>
      <c r="C296" t="s">
        <v>38</v>
      </c>
      <c r="D296">
        <v>609</v>
      </c>
      <c r="E296">
        <v>99</v>
      </c>
    </row>
    <row r="297" spans="1:5">
      <c r="A297" t="s">
        <v>7</v>
      </c>
      <c r="B297" t="s">
        <v>13</v>
      </c>
      <c r="C297" t="s">
        <v>48</v>
      </c>
      <c r="D297">
        <v>1638</v>
      </c>
      <c r="E297">
        <v>48</v>
      </c>
    </row>
    <row r="298" spans="1:5">
      <c r="A298" t="s">
        <v>25</v>
      </c>
      <c r="B298" t="s">
        <v>13</v>
      </c>
      <c r="C298" t="s">
        <v>41</v>
      </c>
      <c r="D298">
        <v>1071</v>
      </c>
      <c r="E298">
        <v>270</v>
      </c>
    </row>
    <row r="299" spans="1:5">
      <c r="A299" t="s">
        <v>7</v>
      </c>
      <c r="B299" t="s">
        <v>13</v>
      </c>
      <c r="C299" t="s">
        <v>51</v>
      </c>
      <c r="D299">
        <v>1617</v>
      </c>
      <c r="E299">
        <v>126</v>
      </c>
    </row>
    <row r="300" spans="1:5">
      <c r="A300" t="s">
        <v>46</v>
      </c>
      <c r="B300" t="s">
        <v>13</v>
      </c>
      <c r="C300" t="s">
        <v>24</v>
      </c>
      <c r="D300">
        <v>6657</v>
      </c>
      <c r="E300">
        <v>276</v>
      </c>
    </row>
    <row r="301" spans="1:5">
      <c r="A301" t="s">
        <v>42</v>
      </c>
      <c r="B301" t="s">
        <v>13</v>
      </c>
      <c r="C301" t="s">
        <v>34</v>
      </c>
      <c r="D301">
        <v>4753</v>
      </c>
      <c r="E301">
        <v>246</v>
      </c>
    </row>
    <row r="302" spans="1:5">
      <c r="A302" t="s">
        <v>25</v>
      </c>
      <c r="B302" t="s">
        <v>13</v>
      </c>
      <c r="C302" t="s">
        <v>9</v>
      </c>
      <c r="D302">
        <v>4781</v>
      </c>
      <c r="E302">
        <v>123</v>
      </c>
    </row>
    <row r="303" spans="1:5">
      <c r="A303" t="s">
        <v>17</v>
      </c>
      <c r="B303" t="s">
        <v>13</v>
      </c>
      <c r="C303" t="s">
        <v>52</v>
      </c>
      <c r="D303">
        <v>2429</v>
      </c>
      <c r="E303">
        <v>144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51ABF-479C-485D-BE68-35ADA45A370B}">
  <dimension ref="A1:E61"/>
  <sheetViews>
    <sheetView workbookViewId="0">
      <selection activeCell="A3" sqref="A3:E61"/>
    </sheetView>
  </sheetViews>
  <sheetFormatPr defaultRowHeight="14.4"/>
  <cols>
    <col min="1" max="1" width="16.109375" bestFit="1" customWidth="1"/>
    <col min="2" max="2" width="12.33203125" bestFit="1" customWidth="1"/>
    <col min="3" max="3" width="21.77734375" bestFit="1" customWidth="1"/>
    <col min="4" max="4" width="9.5546875" bestFit="1" customWidth="1"/>
    <col min="5" max="5" width="9" bestFit="1" customWidth="1"/>
  </cols>
  <sheetData>
    <row r="1" spans="1:5">
      <c r="A1" s="10" t="s">
        <v>72</v>
      </c>
    </row>
    <row r="3" spans="1:5">
      <c r="A3" t="s">
        <v>0</v>
      </c>
      <c r="B3" t="s">
        <v>1</v>
      </c>
      <c r="C3" t="s">
        <v>2</v>
      </c>
      <c r="D3" t="s">
        <v>3</v>
      </c>
      <c r="E3" t="s">
        <v>4</v>
      </c>
    </row>
    <row r="4" spans="1:5">
      <c r="A4" t="s">
        <v>54</v>
      </c>
      <c r="B4" t="s">
        <v>49</v>
      </c>
      <c r="C4" t="s">
        <v>36</v>
      </c>
      <c r="D4">
        <v>4053</v>
      </c>
      <c r="E4">
        <v>24</v>
      </c>
    </row>
    <row r="5" spans="1:5">
      <c r="A5" t="s">
        <v>20</v>
      </c>
      <c r="B5" t="s">
        <v>49</v>
      </c>
      <c r="C5" t="s">
        <v>47</v>
      </c>
      <c r="D5">
        <v>4935</v>
      </c>
      <c r="E5">
        <v>126</v>
      </c>
    </row>
    <row r="6" spans="1:5">
      <c r="A6" t="s">
        <v>45</v>
      </c>
      <c r="B6" t="s">
        <v>49</v>
      </c>
      <c r="C6" t="s">
        <v>38</v>
      </c>
      <c r="D6">
        <v>7511</v>
      </c>
      <c r="E6">
        <v>120</v>
      </c>
    </row>
    <row r="7" spans="1:5">
      <c r="A7" t="s">
        <v>46</v>
      </c>
      <c r="B7" t="s">
        <v>49</v>
      </c>
      <c r="C7" t="s">
        <v>32</v>
      </c>
      <c r="D7">
        <v>2919</v>
      </c>
      <c r="E7">
        <v>93</v>
      </c>
    </row>
    <row r="8" spans="1:5">
      <c r="A8" t="s">
        <v>39</v>
      </c>
      <c r="B8" t="s">
        <v>49</v>
      </c>
      <c r="C8" t="s">
        <v>24</v>
      </c>
      <c r="D8">
        <v>3829</v>
      </c>
      <c r="E8">
        <v>24</v>
      </c>
    </row>
    <row r="9" spans="1:5">
      <c r="A9" t="s">
        <v>46</v>
      </c>
      <c r="B9" t="s">
        <v>49</v>
      </c>
      <c r="C9" t="s">
        <v>47</v>
      </c>
      <c r="D9">
        <v>2212</v>
      </c>
      <c r="E9">
        <v>117</v>
      </c>
    </row>
    <row r="10" spans="1:5">
      <c r="A10" t="s">
        <v>42</v>
      </c>
      <c r="B10" t="s">
        <v>49</v>
      </c>
      <c r="C10" t="s">
        <v>36</v>
      </c>
      <c r="D10">
        <v>6279</v>
      </c>
      <c r="E10">
        <v>237</v>
      </c>
    </row>
    <row r="11" spans="1:5">
      <c r="A11" t="s">
        <v>25</v>
      </c>
      <c r="B11" t="s">
        <v>49</v>
      </c>
      <c r="C11" t="s">
        <v>14</v>
      </c>
      <c r="D11">
        <v>6734</v>
      </c>
      <c r="E11">
        <v>123</v>
      </c>
    </row>
    <row r="12" spans="1:5">
      <c r="A12" t="s">
        <v>25</v>
      </c>
      <c r="B12" t="s">
        <v>49</v>
      </c>
      <c r="C12" t="s">
        <v>32</v>
      </c>
      <c r="D12">
        <v>3759</v>
      </c>
      <c r="E12">
        <v>150</v>
      </c>
    </row>
    <row r="13" spans="1:5">
      <c r="A13" t="s">
        <v>54</v>
      </c>
      <c r="B13" t="s">
        <v>49</v>
      </c>
      <c r="C13" t="s">
        <v>32</v>
      </c>
      <c r="D13">
        <v>700</v>
      </c>
      <c r="E13">
        <v>87</v>
      </c>
    </row>
    <row r="14" spans="1:5">
      <c r="A14" t="s">
        <v>12</v>
      </c>
      <c r="B14" t="s">
        <v>49</v>
      </c>
      <c r="C14" t="s">
        <v>34</v>
      </c>
      <c r="D14">
        <v>3507</v>
      </c>
      <c r="E14">
        <v>288</v>
      </c>
    </row>
    <row r="15" spans="1:5">
      <c r="A15" t="s">
        <v>25</v>
      </c>
      <c r="B15" t="s">
        <v>49</v>
      </c>
      <c r="C15" t="s">
        <v>29</v>
      </c>
      <c r="D15">
        <v>2219</v>
      </c>
      <c r="E15">
        <v>75</v>
      </c>
    </row>
    <row r="16" spans="1:5">
      <c r="A16" t="s">
        <v>17</v>
      </c>
      <c r="B16" t="s">
        <v>49</v>
      </c>
      <c r="C16" t="s">
        <v>29</v>
      </c>
      <c r="D16">
        <v>938</v>
      </c>
      <c r="E16">
        <v>189</v>
      </c>
    </row>
    <row r="17" spans="1:5">
      <c r="A17" t="s">
        <v>45</v>
      </c>
      <c r="B17" t="s">
        <v>49</v>
      </c>
      <c r="C17" t="s">
        <v>11</v>
      </c>
      <c r="D17">
        <v>252</v>
      </c>
      <c r="E17">
        <v>54</v>
      </c>
    </row>
    <row r="18" spans="1:5">
      <c r="A18" t="s">
        <v>20</v>
      </c>
      <c r="B18" t="s">
        <v>49</v>
      </c>
      <c r="C18" t="s">
        <v>29</v>
      </c>
      <c r="D18">
        <v>1274</v>
      </c>
      <c r="E18">
        <v>225</v>
      </c>
    </row>
    <row r="19" spans="1:5">
      <c r="A19" t="s">
        <v>17</v>
      </c>
      <c r="B19" t="s">
        <v>49</v>
      </c>
      <c r="C19" t="s">
        <v>32</v>
      </c>
      <c r="D19">
        <v>707</v>
      </c>
      <c r="E19">
        <v>174</v>
      </c>
    </row>
    <row r="20" spans="1:5">
      <c r="A20" t="s">
        <v>46</v>
      </c>
      <c r="B20" t="s">
        <v>49</v>
      </c>
      <c r="C20" t="s">
        <v>27</v>
      </c>
      <c r="D20">
        <v>6300</v>
      </c>
      <c r="E20">
        <v>42</v>
      </c>
    </row>
    <row r="21" spans="1:5">
      <c r="A21" t="s">
        <v>42</v>
      </c>
      <c r="B21" t="s">
        <v>49</v>
      </c>
      <c r="C21" t="s">
        <v>41</v>
      </c>
      <c r="D21">
        <v>15610</v>
      </c>
      <c r="E21">
        <v>339</v>
      </c>
    </row>
    <row r="22" spans="1:5">
      <c r="A22" t="s">
        <v>20</v>
      </c>
      <c r="B22" t="s">
        <v>49</v>
      </c>
      <c r="C22" t="s">
        <v>36</v>
      </c>
      <c r="D22">
        <v>336</v>
      </c>
      <c r="E22">
        <v>144</v>
      </c>
    </row>
    <row r="23" spans="1:5">
      <c r="A23" t="s">
        <v>39</v>
      </c>
      <c r="B23" t="s">
        <v>49</v>
      </c>
      <c r="C23" t="s">
        <v>16</v>
      </c>
      <c r="D23">
        <v>1932</v>
      </c>
      <c r="E23">
        <v>369</v>
      </c>
    </row>
    <row r="24" spans="1:5">
      <c r="A24" t="s">
        <v>17</v>
      </c>
      <c r="B24" t="s">
        <v>49</v>
      </c>
      <c r="C24" t="s">
        <v>47</v>
      </c>
      <c r="D24">
        <v>8155</v>
      </c>
      <c r="E24">
        <v>90</v>
      </c>
    </row>
    <row r="25" spans="1:5">
      <c r="A25" t="s">
        <v>46</v>
      </c>
      <c r="B25" t="s">
        <v>49</v>
      </c>
      <c r="C25" t="s">
        <v>16</v>
      </c>
      <c r="D25">
        <v>7259</v>
      </c>
      <c r="E25">
        <v>276</v>
      </c>
    </row>
    <row r="26" spans="1:5">
      <c r="A26" t="s">
        <v>54</v>
      </c>
      <c r="B26" t="s">
        <v>49</v>
      </c>
      <c r="C26" t="s">
        <v>38</v>
      </c>
      <c r="D26">
        <v>5355</v>
      </c>
      <c r="E26">
        <v>204</v>
      </c>
    </row>
    <row r="27" spans="1:5">
      <c r="A27" t="s">
        <v>12</v>
      </c>
      <c r="B27" t="s">
        <v>49</v>
      </c>
      <c r="C27" t="s">
        <v>29</v>
      </c>
      <c r="D27">
        <v>2009</v>
      </c>
      <c r="E27">
        <v>219</v>
      </c>
    </row>
    <row r="28" spans="1:5">
      <c r="A28" t="s">
        <v>54</v>
      </c>
      <c r="B28" t="s">
        <v>49</v>
      </c>
      <c r="C28" t="s">
        <v>50</v>
      </c>
      <c r="D28">
        <v>4991</v>
      </c>
      <c r="E28">
        <v>9</v>
      </c>
    </row>
    <row r="29" spans="1:5">
      <c r="A29" t="s">
        <v>42</v>
      </c>
      <c r="B29" t="s">
        <v>49</v>
      </c>
      <c r="C29" t="s">
        <v>30</v>
      </c>
      <c r="D29">
        <v>1652</v>
      </c>
      <c r="E29">
        <v>93</v>
      </c>
    </row>
    <row r="30" spans="1:5">
      <c r="A30" t="s">
        <v>46</v>
      </c>
      <c r="B30" t="s">
        <v>49</v>
      </c>
      <c r="C30" t="s">
        <v>41</v>
      </c>
      <c r="D30">
        <v>2583</v>
      </c>
      <c r="E30">
        <v>18</v>
      </c>
    </row>
    <row r="31" spans="1:5">
      <c r="A31" t="s">
        <v>7</v>
      </c>
      <c r="B31" t="s">
        <v>49</v>
      </c>
      <c r="C31" t="s">
        <v>30</v>
      </c>
      <c r="D31">
        <v>3794</v>
      </c>
      <c r="E31">
        <v>159</v>
      </c>
    </row>
    <row r="32" spans="1:5">
      <c r="A32" t="s">
        <v>7</v>
      </c>
      <c r="B32" t="s">
        <v>49</v>
      </c>
      <c r="C32" t="s">
        <v>47</v>
      </c>
      <c r="D32">
        <v>2779</v>
      </c>
      <c r="E32">
        <v>75</v>
      </c>
    </row>
    <row r="33" spans="1:5">
      <c r="A33" t="s">
        <v>25</v>
      </c>
      <c r="B33" t="s">
        <v>49</v>
      </c>
      <c r="C33" t="s">
        <v>9</v>
      </c>
      <c r="D33">
        <v>3402</v>
      </c>
      <c r="E33">
        <v>366</v>
      </c>
    </row>
    <row r="34" spans="1:5">
      <c r="A34" t="s">
        <v>42</v>
      </c>
      <c r="B34" t="s">
        <v>49</v>
      </c>
      <c r="C34" t="s">
        <v>24</v>
      </c>
      <c r="D34">
        <v>7280</v>
      </c>
      <c r="E34">
        <v>201</v>
      </c>
    </row>
    <row r="35" spans="1:5">
      <c r="A35" t="s">
        <v>39</v>
      </c>
      <c r="B35" t="s">
        <v>49</v>
      </c>
      <c r="C35" t="s">
        <v>48</v>
      </c>
      <c r="D35">
        <v>8862</v>
      </c>
      <c r="E35">
        <v>189</v>
      </c>
    </row>
    <row r="36" spans="1:5">
      <c r="A36" t="s">
        <v>17</v>
      </c>
      <c r="B36" t="s">
        <v>49</v>
      </c>
      <c r="C36" t="s">
        <v>44</v>
      </c>
      <c r="D36">
        <v>6832</v>
      </c>
      <c r="E36">
        <v>27</v>
      </c>
    </row>
    <row r="37" spans="1:5">
      <c r="A37" t="s">
        <v>20</v>
      </c>
      <c r="B37" t="s">
        <v>49</v>
      </c>
      <c r="C37" t="s">
        <v>30</v>
      </c>
      <c r="D37">
        <v>7847</v>
      </c>
      <c r="E37">
        <v>174</v>
      </c>
    </row>
    <row r="38" spans="1:5">
      <c r="A38" t="s">
        <v>39</v>
      </c>
      <c r="B38" t="s">
        <v>49</v>
      </c>
      <c r="C38" t="s">
        <v>32</v>
      </c>
      <c r="D38">
        <v>7777</v>
      </c>
      <c r="E38">
        <v>39</v>
      </c>
    </row>
    <row r="39" spans="1:5">
      <c r="A39" t="s">
        <v>25</v>
      </c>
      <c r="B39" t="s">
        <v>49</v>
      </c>
      <c r="C39" t="s">
        <v>18</v>
      </c>
      <c r="D39">
        <v>525</v>
      </c>
      <c r="E39">
        <v>48</v>
      </c>
    </row>
    <row r="40" spans="1:5">
      <c r="A40" t="s">
        <v>54</v>
      </c>
      <c r="B40" t="s">
        <v>49</v>
      </c>
      <c r="C40" t="s">
        <v>27</v>
      </c>
      <c r="D40">
        <v>1428</v>
      </c>
      <c r="E40">
        <v>93</v>
      </c>
    </row>
    <row r="41" spans="1:5">
      <c r="A41" t="s">
        <v>25</v>
      </c>
      <c r="B41" t="s">
        <v>49</v>
      </c>
      <c r="C41" t="s">
        <v>50</v>
      </c>
      <c r="D41">
        <v>8008</v>
      </c>
      <c r="E41">
        <v>456</v>
      </c>
    </row>
    <row r="42" spans="1:5">
      <c r="A42" t="s">
        <v>39</v>
      </c>
      <c r="B42" t="s">
        <v>49</v>
      </c>
      <c r="C42" t="s">
        <v>14</v>
      </c>
      <c r="D42">
        <v>3262</v>
      </c>
      <c r="E42">
        <v>75</v>
      </c>
    </row>
    <row r="43" spans="1:5">
      <c r="A43" t="s">
        <v>7</v>
      </c>
      <c r="B43" t="s">
        <v>49</v>
      </c>
      <c r="C43" t="s">
        <v>52</v>
      </c>
      <c r="D43">
        <v>2289</v>
      </c>
      <c r="E43">
        <v>135</v>
      </c>
    </row>
    <row r="44" spans="1:5">
      <c r="A44" t="s">
        <v>42</v>
      </c>
      <c r="B44" t="s">
        <v>49</v>
      </c>
      <c r="C44" t="s">
        <v>52</v>
      </c>
      <c r="D44">
        <v>6986</v>
      </c>
      <c r="E44">
        <v>21</v>
      </c>
    </row>
    <row r="45" spans="1:5">
      <c r="A45" t="s">
        <v>7</v>
      </c>
      <c r="B45" t="s">
        <v>49</v>
      </c>
      <c r="C45" t="s">
        <v>50</v>
      </c>
      <c r="D45">
        <v>6748</v>
      </c>
      <c r="E45">
        <v>48</v>
      </c>
    </row>
    <row r="46" spans="1:5">
      <c r="A46" t="s">
        <v>25</v>
      </c>
      <c r="B46" t="s">
        <v>49</v>
      </c>
      <c r="C46" t="s">
        <v>24</v>
      </c>
      <c r="D46">
        <v>1442</v>
      </c>
      <c r="E46">
        <v>15</v>
      </c>
    </row>
    <row r="47" spans="1:5">
      <c r="A47" t="s">
        <v>39</v>
      </c>
      <c r="B47" t="s">
        <v>49</v>
      </c>
      <c r="C47" t="s">
        <v>27</v>
      </c>
      <c r="D47">
        <v>1568</v>
      </c>
      <c r="E47">
        <v>96</v>
      </c>
    </row>
    <row r="48" spans="1:5">
      <c r="A48" t="s">
        <v>46</v>
      </c>
      <c r="B48" t="s">
        <v>49</v>
      </c>
      <c r="C48" t="s">
        <v>53</v>
      </c>
      <c r="D48">
        <v>3689</v>
      </c>
      <c r="E48">
        <v>312</v>
      </c>
    </row>
    <row r="49" spans="1:5">
      <c r="A49" t="s">
        <v>46</v>
      </c>
      <c r="B49" t="s">
        <v>49</v>
      </c>
      <c r="C49" t="s">
        <v>50</v>
      </c>
      <c r="D49">
        <v>3108</v>
      </c>
      <c r="E49">
        <v>54</v>
      </c>
    </row>
    <row r="50" spans="1:5">
      <c r="A50" t="s">
        <v>42</v>
      </c>
      <c r="B50" t="s">
        <v>49</v>
      </c>
      <c r="C50" t="s">
        <v>51</v>
      </c>
      <c r="D50">
        <v>2891</v>
      </c>
      <c r="E50">
        <v>102</v>
      </c>
    </row>
    <row r="51" spans="1:5">
      <c r="A51" t="s">
        <v>17</v>
      </c>
      <c r="B51" t="s">
        <v>49</v>
      </c>
      <c r="C51" t="s">
        <v>41</v>
      </c>
      <c r="D51">
        <v>8463</v>
      </c>
      <c r="E51">
        <v>492</v>
      </c>
    </row>
    <row r="52" spans="1:5">
      <c r="A52" t="s">
        <v>25</v>
      </c>
      <c r="B52" t="s">
        <v>49</v>
      </c>
      <c r="C52" t="s">
        <v>51</v>
      </c>
      <c r="D52">
        <v>3339</v>
      </c>
      <c r="E52">
        <v>75</v>
      </c>
    </row>
    <row r="53" spans="1:5">
      <c r="A53" t="s">
        <v>7</v>
      </c>
      <c r="B53" t="s">
        <v>49</v>
      </c>
      <c r="C53" t="s">
        <v>32</v>
      </c>
      <c r="D53">
        <v>5019</v>
      </c>
      <c r="E53">
        <v>156</v>
      </c>
    </row>
    <row r="54" spans="1:5">
      <c r="A54" t="s">
        <v>17</v>
      </c>
      <c r="B54" t="s">
        <v>49</v>
      </c>
      <c r="C54" t="s">
        <v>53</v>
      </c>
      <c r="D54">
        <v>14329</v>
      </c>
      <c r="E54">
        <v>150</v>
      </c>
    </row>
    <row r="55" spans="1:5">
      <c r="A55" t="s">
        <v>39</v>
      </c>
      <c r="B55" t="s">
        <v>49</v>
      </c>
      <c r="C55" t="s">
        <v>30</v>
      </c>
      <c r="D55">
        <v>2226</v>
      </c>
      <c r="E55">
        <v>48</v>
      </c>
    </row>
    <row r="56" spans="1:5">
      <c r="A56" t="s">
        <v>42</v>
      </c>
      <c r="B56" t="s">
        <v>49</v>
      </c>
      <c r="C56" t="s">
        <v>38</v>
      </c>
      <c r="D56">
        <v>861</v>
      </c>
      <c r="E56">
        <v>195</v>
      </c>
    </row>
    <row r="57" spans="1:5">
      <c r="A57" t="s">
        <v>7</v>
      </c>
      <c r="B57" t="s">
        <v>49</v>
      </c>
      <c r="C57" t="s">
        <v>38</v>
      </c>
      <c r="D57">
        <v>4018</v>
      </c>
      <c r="E57">
        <v>162</v>
      </c>
    </row>
    <row r="58" spans="1:5">
      <c r="A58" t="s">
        <v>39</v>
      </c>
      <c r="B58" t="s">
        <v>49</v>
      </c>
      <c r="C58" t="s">
        <v>41</v>
      </c>
      <c r="D58">
        <v>2205</v>
      </c>
      <c r="E58">
        <v>138</v>
      </c>
    </row>
    <row r="59" spans="1:5">
      <c r="A59" t="s">
        <v>25</v>
      </c>
      <c r="B59" t="s">
        <v>49</v>
      </c>
      <c r="C59" t="s">
        <v>52</v>
      </c>
      <c r="D59">
        <v>4242</v>
      </c>
      <c r="E59">
        <v>207</v>
      </c>
    </row>
    <row r="60" spans="1:5">
      <c r="A60" t="s">
        <v>20</v>
      </c>
      <c r="B60" t="s">
        <v>49</v>
      </c>
      <c r="C60" t="s">
        <v>32</v>
      </c>
      <c r="D60">
        <v>1463</v>
      </c>
      <c r="E60">
        <v>39</v>
      </c>
    </row>
    <row r="61" spans="1:5">
      <c r="A61" t="s">
        <v>46</v>
      </c>
      <c r="B61" t="s">
        <v>49</v>
      </c>
      <c r="C61" t="s">
        <v>14</v>
      </c>
      <c r="D61">
        <v>7777</v>
      </c>
      <c r="E61">
        <v>504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19150-E774-44BF-8A49-2FC513E54952}">
  <dimension ref="A1:M17"/>
  <sheetViews>
    <sheetView workbookViewId="0">
      <selection activeCell="L15" sqref="L15"/>
    </sheetView>
  </sheetViews>
  <sheetFormatPr defaultRowHeight="14.4"/>
  <cols>
    <col min="2" max="2" width="13.77734375" bestFit="1" customWidth="1"/>
    <col min="3" max="3" width="15.21875" bestFit="1" customWidth="1"/>
    <col min="4" max="4" width="11.5546875" customWidth="1"/>
    <col min="5" max="5" width="12.5546875" bestFit="1" customWidth="1"/>
    <col min="6" max="6" width="12.5546875" customWidth="1"/>
    <col min="12" max="12" width="13.77734375" bestFit="1" customWidth="1"/>
    <col min="13" max="13" width="15.21875" bestFit="1" customWidth="1"/>
    <col min="14" max="14" width="1.44140625" bestFit="1" customWidth="1"/>
    <col min="15" max="15" width="12.5546875" bestFit="1" customWidth="1"/>
  </cols>
  <sheetData>
    <row r="1" spans="1:13" ht="14.4" customHeight="1">
      <c r="A1" s="134" t="s">
        <v>103</v>
      </c>
      <c r="B1" s="134"/>
      <c r="C1" s="134"/>
      <c r="D1" s="134"/>
      <c r="E1" s="134"/>
      <c r="F1" s="134"/>
      <c r="G1" s="134"/>
      <c r="H1" s="134"/>
      <c r="I1" s="134"/>
      <c r="J1" s="134"/>
      <c r="K1" s="134"/>
      <c r="L1" s="134"/>
      <c r="M1" s="134"/>
    </row>
    <row r="2" spans="1:13" ht="14.4" customHeight="1">
      <c r="A2" s="134"/>
      <c r="B2" s="134"/>
      <c r="C2" s="134"/>
      <c r="D2" s="134"/>
      <c r="E2" s="134"/>
      <c r="F2" s="134"/>
      <c r="G2" s="134"/>
      <c r="H2" s="134"/>
      <c r="I2" s="134"/>
      <c r="J2" s="134"/>
      <c r="K2" s="134"/>
      <c r="L2" s="134"/>
      <c r="M2" s="134"/>
    </row>
    <row r="3" spans="1:13" ht="14.4" customHeight="1">
      <c r="A3" s="134"/>
      <c r="B3" s="134"/>
      <c r="C3" s="134"/>
      <c r="D3" s="134"/>
      <c r="E3" s="134"/>
      <c r="F3" s="134"/>
      <c r="G3" s="134"/>
      <c r="H3" s="134"/>
      <c r="I3" s="134"/>
      <c r="J3" s="134"/>
      <c r="K3" s="134"/>
      <c r="L3" s="134"/>
      <c r="M3" s="134"/>
    </row>
    <row r="5" spans="1:13" ht="15" thickBot="1">
      <c r="B5" s="27" t="s">
        <v>68</v>
      </c>
      <c r="C5" s="27" t="s">
        <v>69</v>
      </c>
      <c r="D5" s="27" t="s">
        <v>61</v>
      </c>
      <c r="E5" s="27" t="s">
        <v>70</v>
      </c>
    </row>
    <row r="6" spans="1:13">
      <c r="B6" s="30" t="s">
        <v>49</v>
      </c>
      <c r="C6" s="9">
        <v>252469</v>
      </c>
      <c r="D6" s="4">
        <v>252469</v>
      </c>
      <c r="E6" s="28">
        <v>8760</v>
      </c>
    </row>
    <row r="7" spans="1:13" ht="15" thickBot="1">
      <c r="B7" s="31" t="s">
        <v>21</v>
      </c>
      <c r="C7" s="9">
        <v>237944</v>
      </c>
      <c r="D7" s="4">
        <v>237944</v>
      </c>
      <c r="E7" s="28">
        <v>7302</v>
      </c>
    </row>
    <row r="8" spans="1:13" ht="15" thickBot="1">
      <c r="B8" s="30" t="s">
        <v>8</v>
      </c>
      <c r="C8" s="9">
        <v>218813</v>
      </c>
      <c r="D8" s="4">
        <v>218813</v>
      </c>
      <c r="E8" s="28">
        <v>7431</v>
      </c>
    </row>
    <row r="9" spans="1:13" ht="15" thickBot="1">
      <c r="B9" s="29" t="s">
        <v>13</v>
      </c>
      <c r="C9" s="9">
        <v>189434</v>
      </c>
      <c r="D9" s="4">
        <v>189434</v>
      </c>
      <c r="E9" s="28">
        <v>10158</v>
      </c>
    </row>
    <row r="10" spans="1:13" ht="15" thickBot="1">
      <c r="B10" s="31" t="s">
        <v>26</v>
      </c>
      <c r="C10" s="9">
        <v>173530</v>
      </c>
      <c r="D10" s="4">
        <v>173530</v>
      </c>
      <c r="E10" s="28">
        <v>5745</v>
      </c>
    </row>
    <row r="11" spans="1:13" ht="15" thickBot="1">
      <c r="B11" s="31" t="s">
        <v>33</v>
      </c>
      <c r="C11" s="9">
        <v>168679</v>
      </c>
      <c r="D11" s="4">
        <v>168679</v>
      </c>
      <c r="E11" s="28">
        <v>6264</v>
      </c>
    </row>
    <row r="15" spans="1:13">
      <c r="H15" s="11" t="s">
        <v>61</v>
      </c>
    </row>
    <row r="17" spans="6:6">
      <c r="F17" s="1"/>
    </row>
  </sheetData>
  <mergeCells count="1">
    <mergeCell ref="A1:M3"/>
  </mergeCells>
  <conditionalFormatting pivot="1" sqref="D6:D11">
    <cfRule type="dataBar" priority="2">
      <dataBar showValue="0">
        <cfvo type="min"/>
        <cfvo type="max"/>
        <color theme="5" tint="-0.249977111117893"/>
      </dataBar>
      <extLst>
        <ext xmlns:x14="http://schemas.microsoft.com/office/spreadsheetml/2009/9/main" uri="{B025F937-C7B1-47D3-B67F-A62EFF666E3E}">
          <x14:id>{CE7870B0-DC64-4E59-A51D-BC9DB3093B1F}</x14:id>
        </ext>
      </extLst>
    </cfRule>
  </conditionalFormatting>
  <conditionalFormatting pivot="1" sqref="D6:D11">
    <cfRule type="dataBar" priority="1">
      <dataBar showValue="0">
        <cfvo type="min"/>
        <cfvo type="max"/>
        <color rgb="FFBE0A06"/>
      </dataBar>
      <extLst>
        <ext xmlns:x14="http://schemas.microsoft.com/office/spreadsheetml/2009/9/main" uri="{B025F937-C7B1-47D3-B67F-A62EFF666E3E}">
          <x14:id>{2DAACC03-1BC5-4208-ADB3-1BC51E125185}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CE7870B0-DC64-4E59-A51D-BC9DB3093B1F}">
            <x14:dataBar minLength="0" maxLength="100" gradient="0">
              <x14:cfvo type="autoMin"/>
              <x14:cfvo type="autoMax"/>
              <x14:negativeFillColor rgb="FFFF0000"/>
              <x14:axisColor rgb="FF000000"/>
            </x14:dataBar>
          </x14:cfRule>
          <xm:sqref>D6:D11</xm:sqref>
        </x14:conditionalFormatting>
        <x14:conditionalFormatting xmlns:xm="http://schemas.microsoft.com/office/excel/2006/main" pivot="1">
          <x14:cfRule type="dataBar" id="{2DAACC03-1BC5-4208-ADB3-1BC51E125185}">
            <x14:dataBar minLength="0" maxLength="100" gradient="0">
              <x14:cfvo type="autoMin"/>
              <x14:cfvo type="autoMax"/>
              <x14:negativeFillColor rgb="FFFF0000"/>
              <x14:axisColor rgb="FF000000"/>
            </x14:dataBar>
          </x14:cfRule>
          <xm:sqref>D6:D11</xm:sqref>
        </x14:conditionalFormatting>
      </x14:conditionalFormattings>
    </ex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77A0-1AA8-4395-9219-EE22EE8B6593}">
  <dimension ref="A1:K29"/>
  <sheetViews>
    <sheetView workbookViewId="0">
      <selection activeCell="G13" sqref="G13"/>
    </sheetView>
  </sheetViews>
  <sheetFormatPr defaultRowHeight="14.4"/>
  <cols>
    <col min="3" max="3" width="17.77734375" bestFit="1" customWidth="1"/>
    <col min="4" max="5" width="12.21875" bestFit="1" customWidth="1"/>
    <col min="6" max="6" width="12.21875" style="12" bestFit="1" customWidth="1"/>
  </cols>
  <sheetData>
    <row r="1" spans="1:11">
      <c r="A1" s="119" t="s">
        <v>73</v>
      </c>
      <c r="B1" s="119"/>
      <c r="C1" s="119"/>
      <c r="D1" s="119"/>
      <c r="E1" s="119"/>
      <c r="F1" s="119"/>
      <c r="G1" s="119"/>
      <c r="H1" s="119"/>
      <c r="I1" s="119"/>
      <c r="J1" s="119"/>
      <c r="K1" s="119"/>
    </row>
    <row r="2" spans="1:11">
      <c r="A2" s="119"/>
      <c r="B2" s="119"/>
      <c r="C2" s="119"/>
      <c r="D2" s="119"/>
      <c r="E2" s="119"/>
      <c r="F2" s="119"/>
      <c r="G2" s="119"/>
      <c r="H2" s="119"/>
      <c r="I2" s="119"/>
      <c r="J2" s="119"/>
      <c r="K2" s="119"/>
    </row>
    <row r="3" spans="1:11">
      <c r="A3" s="119"/>
      <c r="B3" s="119"/>
      <c r="C3" s="119"/>
      <c r="D3" s="119"/>
      <c r="E3" s="119"/>
      <c r="F3" s="119"/>
      <c r="G3" s="119"/>
      <c r="H3" s="119"/>
      <c r="I3" s="119"/>
      <c r="J3" s="119"/>
      <c r="K3" s="119"/>
    </row>
    <row r="5" spans="1:11" ht="15" thickBot="1"/>
    <row r="6" spans="1:11" ht="15" thickBot="1">
      <c r="C6" s="69" t="s">
        <v>68</v>
      </c>
      <c r="D6" s="93" t="s">
        <v>75</v>
      </c>
      <c r="F6"/>
    </row>
    <row r="7" spans="1:11" ht="15" thickBot="1">
      <c r="C7" s="29" t="s">
        <v>24</v>
      </c>
      <c r="D7" s="94">
        <v>44.990867579908674</v>
      </c>
      <c r="F7"/>
    </row>
    <row r="8" spans="1:11" ht="15" thickBot="1">
      <c r="C8" s="29" t="s">
        <v>30</v>
      </c>
      <c r="D8" s="94">
        <v>37.303128371089535</v>
      </c>
      <c r="F8"/>
    </row>
    <row r="9" spans="1:11" ht="15" thickBot="1">
      <c r="C9" s="29" t="s">
        <v>48</v>
      </c>
      <c r="D9" s="94">
        <v>33.88697318007663</v>
      </c>
      <c r="F9"/>
    </row>
    <row r="10" spans="1:11" ht="15" thickBot="1">
      <c r="C10" s="29" t="s">
        <v>50</v>
      </c>
      <c r="D10" s="94">
        <v>32.807189542483663</v>
      </c>
      <c r="F10"/>
    </row>
    <row r="11" spans="1:11" ht="15" thickBot="1">
      <c r="C11" s="29" t="s">
        <v>36</v>
      </c>
      <c r="D11" s="94">
        <v>32.301656920077974</v>
      </c>
      <c r="F11"/>
    </row>
    <row r="12" spans="1:11" ht="15" thickBot="1">
      <c r="C12" s="53" t="s">
        <v>74</v>
      </c>
      <c r="D12" s="97">
        <v>35.949565217391303</v>
      </c>
      <c r="F12"/>
    </row>
    <row r="13" spans="1:11">
      <c r="F13"/>
    </row>
    <row r="14" spans="1:11">
      <c r="F14"/>
    </row>
    <row r="15" spans="1:11">
      <c r="F15"/>
    </row>
    <row r="16" spans="1:11">
      <c r="F16"/>
    </row>
    <row r="17" spans="6:8">
      <c r="F17"/>
    </row>
    <row r="18" spans="6:8">
      <c r="F18"/>
    </row>
    <row r="19" spans="6:8">
      <c r="F19"/>
      <c r="H19" s="11" t="s">
        <v>61</v>
      </c>
    </row>
    <row r="20" spans="6:8">
      <c r="F20"/>
    </row>
    <row r="21" spans="6:8">
      <c r="F21"/>
    </row>
    <row r="22" spans="6:8">
      <c r="F22"/>
    </row>
    <row r="23" spans="6:8">
      <c r="F23"/>
    </row>
    <row r="24" spans="6:8">
      <c r="F24"/>
    </row>
    <row r="25" spans="6:8">
      <c r="F25"/>
    </row>
    <row r="26" spans="6:8">
      <c r="F26"/>
    </row>
    <row r="27" spans="6:8">
      <c r="F27"/>
    </row>
    <row r="28" spans="6:8">
      <c r="F28"/>
    </row>
    <row r="29" spans="6:8">
      <c r="F29"/>
    </row>
  </sheetData>
  <mergeCells count="1">
    <mergeCell ref="A1:K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8C1C3-2BCC-457D-A4C0-73939AC6424E}">
  <dimension ref="A1:S307"/>
  <sheetViews>
    <sheetView zoomScale="94" zoomScaleNormal="89" workbookViewId="0">
      <selection activeCell="K12" sqref="K12"/>
    </sheetView>
  </sheetViews>
  <sheetFormatPr defaultRowHeight="14.4"/>
  <cols>
    <col min="14" max="14" width="15.5546875" customWidth="1"/>
    <col min="15" max="16" width="16.77734375" customWidth="1"/>
    <col min="17" max="17" width="20.21875" bestFit="1" customWidth="1"/>
    <col min="18" max="19" width="12.33203125" customWidth="1"/>
  </cols>
  <sheetData>
    <row r="1" spans="1:19" ht="14.4" customHeight="1">
      <c r="A1" s="120" t="s">
        <v>76</v>
      </c>
      <c r="B1" s="121"/>
      <c r="C1" s="121"/>
      <c r="D1" s="121"/>
      <c r="E1" s="121"/>
      <c r="F1" s="121"/>
      <c r="G1" s="121"/>
      <c r="H1" s="121"/>
      <c r="I1" s="121"/>
      <c r="J1" s="121"/>
      <c r="K1" s="121"/>
      <c r="L1" s="121"/>
      <c r="M1" s="122"/>
      <c r="N1" s="122"/>
      <c r="O1" s="122"/>
      <c r="P1" s="122"/>
      <c r="Q1" s="122"/>
      <c r="R1" s="122"/>
      <c r="S1" s="122"/>
    </row>
    <row r="2" spans="1:19" ht="14.4" customHeight="1">
      <c r="A2" s="121"/>
      <c r="B2" s="121"/>
      <c r="C2" s="121"/>
      <c r="D2" s="121"/>
      <c r="E2" s="121"/>
      <c r="F2" s="121"/>
      <c r="G2" s="121"/>
      <c r="H2" s="121"/>
      <c r="I2" s="121"/>
      <c r="J2" s="121"/>
      <c r="K2" s="121"/>
      <c r="L2" s="121"/>
      <c r="M2" s="122"/>
      <c r="N2" s="122"/>
      <c r="O2" s="122"/>
      <c r="P2" s="122"/>
      <c r="Q2" s="122"/>
      <c r="R2" s="122"/>
      <c r="S2" s="122"/>
    </row>
    <row r="3" spans="1:19" ht="14.4" customHeight="1">
      <c r="A3" s="121"/>
      <c r="B3" s="121"/>
      <c r="C3" s="121"/>
      <c r="D3" s="121"/>
      <c r="E3" s="121"/>
      <c r="F3" s="121"/>
      <c r="G3" s="121"/>
      <c r="H3" s="121"/>
      <c r="I3" s="121"/>
      <c r="J3" s="121"/>
      <c r="K3" s="121"/>
      <c r="L3" s="121"/>
      <c r="M3" s="122"/>
      <c r="N3" s="122"/>
      <c r="O3" s="122"/>
      <c r="P3" s="122"/>
      <c r="Q3" s="122"/>
      <c r="R3" s="122"/>
      <c r="S3" s="122"/>
    </row>
    <row r="6" spans="1:19" ht="15" thickBot="1"/>
    <row r="7" spans="1:19" ht="15" thickBot="1">
      <c r="N7" s="135" t="s">
        <v>0</v>
      </c>
      <c r="O7" s="142" t="s">
        <v>1</v>
      </c>
      <c r="P7" s="142" t="s">
        <v>2</v>
      </c>
      <c r="Q7" s="143" t="s">
        <v>3</v>
      </c>
      <c r="R7" s="95" t="s">
        <v>4</v>
      </c>
    </row>
    <row r="8" spans="1:19">
      <c r="N8" s="136" t="s">
        <v>7</v>
      </c>
      <c r="O8" s="62" t="s">
        <v>8</v>
      </c>
      <c r="P8" s="138" t="s">
        <v>9</v>
      </c>
      <c r="Q8" s="139">
        <v>1624</v>
      </c>
      <c r="R8" s="64">
        <v>114</v>
      </c>
    </row>
    <row r="9" spans="1:19">
      <c r="N9" s="136" t="s">
        <v>12</v>
      </c>
      <c r="O9" s="62" t="s">
        <v>13</v>
      </c>
      <c r="P9" s="136" t="s">
        <v>14</v>
      </c>
      <c r="Q9" s="140">
        <v>6706</v>
      </c>
      <c r="R9" s="64">
        <v>459</v>
      </c>
    </row>
    <row r="10" spans="1:19">
      <c r="N10" s="136" t="s">
        <v>17</v>
      </c>
      <c r="O10" s="62" t="s">
        <v>13</v>
      </c>
      <c r="P10" s="136" t="s">
        <v>18</v>
      </c>
      <c r="Q10" s="140">
        <v>959</v>
      </c>
      <c r="R10" s="64">
        <v>147</v>
      </c>
    </row>
    <row r="11" spans="1:19">
      <c r="N11" s="136" t="s">
        <v>20</v>
      </c>
      <c r="O11" s="62" t="s">
        <v>21</v>
      </c>
      <c r="P11" s="136" t="s">
        <v>22</v>
      </c>
      <c r="Q11" s="140">
        <v>9632</v>
      </c>
      <c r="R11" s="64">
        <v>288</v>
      </c>
    </row>
    <row r="12" spans="1:19">
      <c r="N12" s="136" t="s">
        <v>25</v>
      </c>
      <c r="O12" s="62" t="s">
        <v>26</v>
      </c>
      <c r="P12" s="136" t="s">
        <v>27</v>
      </c>
      <c r="Q12" s="140">
        <v>2100</v>
      </c>
      <c r="R12" s="64">
        <v>414</v>
      </c>
    </row>
    <row r="13" spans="1:19">
      <c r="N13" s="136" t="s">
        <v>7</v>
      </c>
      <c r="O13" s="62" t="s">
        <v>13</v>
      </c>
      <c r="P13" s="136" t="s">
        <v>30</v>
      </c>
      <c r="Q13" s="140">
        <v>8869</v>
      </c>
      <c r="R13" s="64">
        <v>432</v>
      </c>
    </row>
    <row r="14" spans="1:19">
      <c r="N14" s="136" t="s">
        <v>25</v>
      </c>
      <c r="O14" s="62" t="s">
        <v>33</v>
      </c>
      <c r="P14" s="136" t="s">
        <v>34</v>
      </c>
      <c r="Q14" s="140">
        <v>2681</v>
      </c>
      <c r="R14" s="64">
        <v>54</v>
      </c>
    </row>
    <row r="15" spans="1:19">
      <c r="N15" s="136" t="s">
        <v>12</v>
      </c>
      <c r="O15" s="62" t="s">
        <v>13</v>
      </c>
      <c r="P15" s="136" t="s">
        <v>36</v>
      </c>
      <c r="Q15" s="140">
        <v>5012</v>
      </c>
      <c r="R15" s="64">
        <v>210</v>
      </c>
    </row>
    <row r="16" spans="1:19">
      <c r="N16" s="136" t="s">
        <v>39</v>
      </c>
      <c r="O16" s="62" t="s">
        <v>33</v>
      </c>
      <c r="P16" s="136" t="s">
        <v>16</v>
      </c>
      <c r="Q16" s="140">
        <v>1281</v>
      </c>
      <c r="R16" s="64">
        <v>75</v>
      </c>
    </row>
    <row r="17" spans="14:18">
      <c r="N17" s="136" t="s">
        <v>42</v>
      </c>
      <c r="O17" s="62" t="s">
        <v>8</v>
      </c>
      <c r="P17" s="136" t="s">
        <v>16</v>
      </c>
      <c r="Q17" s="140">
        <v>4991</v>
      </c>
      <c r="R17" s="64">
        <v>12</v>
      </c>
    </row>
    <row r="18" spans="14:18">
      <c r="N18" s="136" t="s">
        <v>45</v>
      </c>
      <c r="O18" s="62" t="s">
        <v>26</v>
      </c>
      <c r="P18" s="136" t="s">
        <v>27</v>
      </c>
      <c r="Q18" s="140">
        <v>1785</v>
      </c>
      <c r="R18" s="64">
        <v>462</v>
      </c>
    </row>
    <row r="19" spans="14:18">
      <c r="N19" s="136" t="s">
        <v>46</v>
      </c>
      <c r="O19" s="62" t="s">
        <v>8</v>
      </c>
      <c r="P19" s="136" t="s">
        <v>32</v>
      </c>
      <c r="Q19" s="140">
        <v>3983</v>
      </c>
      <c r="R19" s="64">
        <v>144</v>
      </c>
    </row>
    <row r="20" spans="14:18">
      <c r="N20" s="136" t="s">
        <v>17</v>
      </c>
      <c r="O20" s="62" t="s">
        <v>33</v>
      </c>
      <c r="P20" s="136" t="s">
        <v>29</v>
      </c>
      <c r="Q20" s="140">
        <v>2646</v>
      </c>
      <c r="R20" s="64">
        <v>120</v>
      </c>
    </row>
    <row r="21" spans="14:18">
      <c r="N21" s="136" t="s">
        <v>45</v>
      </c>
      <c r="O21" s="62" t="s">
        <v>49</v>
      </c>
      <c r="P21" s="136" t="s">
        <v>11</v>
      </c>
      <c r="Q21" s="140">
        <v>252</v>
      </c>
      <c r="R21" s="64">
        <v>54</v>
      </c>
    </row>
    <row r="22" spans="14:18">
      <c r="N22" s="136" t="s">
        <v>46</v>
      </c>
      <c r="O22" s="62" t="s">
        <v>13</v>
      </c>
      <c r="P22" s="136" t="s">
        <v>27</v>
      </c>
      <c r="Q22" s="140">
        <v>2464</v>
      </c>
      <c r="R22" s="64">
        <v>234</v>
      </c>
    </row>
    <row r="23" spans="14:18">
      <c r="N23" s="136" t="s">
        <v>46</v>
      </c>
      <c r="O23" s="62" t="s">
        <v>13</v>
      </c>
      <c r="P23" s="136" t="s">
        <v>51</v>
      </c>
      <c r="Q23" s="140">
        <v>2114</v>
      </c>
      <c r="R23" s="64">
        <v>66</v>
      </c>
    </row>
    <row r="24" spans="14:18">
      <c r="N24" s="136" t="s">
        <v>25</v>
      </c>
      <c r="O24" s="62" t="s">
        <v>8</v>
      </c>
      <c r="P24" s="136" t="s">
        <v>34</v>
      </c>
      <c r="Q24" s="140">
        <v>7693</v>
      </c>
      <c r="R24" s="64">
        <v>87</v>
      </c>
    </row>
    <row r="25" spans="14:18">
      <c r="N25" s="136" t="s">
        <v>42</v>
      </c>
      <c r="O25" s="62" t="s">
        <v>49</v>
      </c>
      <c r="P25" s="136" t="s">
        <v>41</v>
      </c>
      <c r="Q25" s="140">
        <v>15610</v>
      </c>
      <c r="R25" s="64">
        <v>339</v>
      </c>
    </row>
    <row r="26" spans="14:18">
      <c r="N26" s="136" t="s">
        <v>20</v>
      </c>
      <c r="O26" s="62" t="s">
        <v>49</v>
      </c>
      <c r="P26" s="136" t="s">
        <v>36</v>
      </c>
      <c r="Q26" s="140">
        <v>336</v>
      </c>
      <c r="R26" s="64">
        <v>144</v>
      </c>
    </row>
    <row r="27" spans="14:18">
      <c r="N27" s="136" t="s">
        <v>45</v>
      </c>
      <c r="O27" s="62" t="s">
        <v>26</v>
      </c>
      <c r="P27" s="136" t="s">
        <v>41</v>
      </c>
      <c r="Q27" s="140">
        <v>9443</v>
      </c>
      <c r="R27" s="64">
        <v>162</v>
      </c>
    </row>
    <row r="28" spans="14:18">
      <c r="N28" s="136" t="s">
        <v>17</v>
      </c>
      <c r="O28" s="62" t="s">
        <v>49</v>
      </c>
      <c r="P28" s="136" t="s">
        <v>47</v>
      </c>
      <c r="Q28" s="140">
        <v>8155</v>
      </c>
      <c r="R28" s="64">
        <v>90</v>
      </c>
    </row>
    <row r="29" spans="14:18">
      <c r="N29" s="136" t="s">
        <v>12</v>
      </c>
      <c r="O29" s="62" t="s">
        <v>33</v>
      </c>
      <c r="P29" s="136" t="s">
        <v>47</v>
      </c>
      <c r="Q29" s="140">
        <v>1701</v>
      </c>
      <c r="R29" s="64">
        <v>234</v>
      </c>
    </row>
    <row r="30" spans="14:18">
      <c r="N30" s="136" t="s">
        <v>54</v>
      </c>
      <c r="O30" s="62" t="s">
        <v>33</v>
      </c>
      <c r="P30" s="136" t="s">
        <v>36</v>
      </c>
      <c r="Q30" s="140">
        <v>2205</v>
      </c>
      <c r="R30" s="64">
        <v>141</v>
      </c>
    </row>
    <row r="31" spans="14:18">
      <c r="N31" s="136" t="s">
        <v>12</v>
      </c>
      <c r="O31" s="62" t="s">
        <v>8</v>
      </c>
      <c r="P31" s="136" t="s">
        <v>38</v>
      </c>
      <c r="Q31" s="140">
        <v>1771</v>
      </c>
      <c r="R31" s="64">
        <v>204</v>
      </c>
    </row>
    <row r="32" spans="14:18">
      <c r="N32" s="136" t="s">
        <v>20</v>
      </c>
      <c r="O32" s="62" t="s">
        <v>13</v>
      </c>
      <c r="P32" s="136" t="s">
        <v>24</v>
      </c>
      <c r="Q32" s="140">
        <v>2114</v>
      </c>
      <c r="R32" s="64">
        <v>186</v>
      </c>
    </row>
    <row r="33" spans="14:18">
      <c r="N33" s="136" t="s">
        <v>20</v>
      </c>
      <c r="O33" s="62" t="s">
        <v>21</v>
      </c>
      <c r="P33" s="136" t="s">
        <v>11</v>
      </c>
      <c r="Q33" s="140">
        <v>10311</v>
      </c>
      <c r="R33" s="64">
        <v>231</v>
      </c>
    </row>
    <row r="34" spans="14:18">
      <c r="N34" s="136" t="s">
        <v>46</v>
      </c>
      <c r="O34" s="62" t="s">
        <v>26</v>
      </c>
      <c r="P34" s="136" t="s">
        <v>29</v>
      </c>
      <c r="Q34" s="140">
        <v>21</v>
      </c>
      <c r="R34" s="64">
        <v>168</v>
      </c>
    </row>
    <row r="35" spans="14:18">
      <c r="N35" s="136" t="s">
        <v>54</v>
      </c>
      <c r="O35" s="62" t="s">
        <v>13</v>
      </c>
      <c r="P35" s="136" t="s">
        <v>41</v>
      </c>
      <c r="Q35" s="140">
        <v>1974</v>
      </c>
      <c r="R35" s="64">
        <v>195</v>
      </c>
    </row>
    <row r="36" spans="14:18">
      <c r="N36" s="136" t="s">
        <v>42</v>
      </c>
      <c r="O36" s="62" t="s">
        <v>21</v>
      </c>
      <c r="P36" s="136" t="s">
        <v>47</v>
      </c>
      <c r="Q36" s="140">
        <v>6314</v>
      </c>
      <c r="R36" s="64">
        <v>15</v>
      </c>
    </row>
    <row r="37" spans="14:18">
      <c r="N37" s="136" t="s">
        <v>54</v>
      </c>
      <c r="O37" s="62" t="s">
        <v>8</v>
      </c>
      <c r="P37" s="136" t="s">
        <v>47</v>
      </c>
      <c r="Q37" s="140">
        <v>4683</v>
      </c>
      <c r="R37" s="64">
        <v>30</v>
      </c>
    </row>
    <row r="38" spans="14:18">
      <c r="N38" s="136" t="s">
        <v>20</v>
      </c>
      <c r="O38" s="62" t="s">
        <v>8</v>
      </c>
      <c r="P38" s="136" t="s">
        <v>48</v>
      </c>
      <c r="Q38" s="140">
        <v>6398</v>
      </c>
      <c r="R38" s="64">
        <v>102</v>
      </c>
    </row>
    <row r="39" spans="14:18">
      <c r="N39" s="136" t="s">
        <v>45</v>
      </c>
      <c r="O39" s="62" t="s">
        <v>13</v>
      </c>
      <c r="P39" s="136" t="s">
        <v>38</v>
      </c>
      <c r="Q39" s="140">
        <v>553</v>
      </c>
      <c r="R39" s="64">
        <v>15</v>
      </c>
    </row>
    <row r="40" spans="14:18">
      <c r="N40" s="136" t="s">
        <v>12</v>
      </c>
      <c r="O40" s="62" t="s">
        <v>26</v>
      </c>
      <c r="P40" s="136" t="s">
        <v>9</v>
      </c>
      <c r="Q40" s="140">
        <v>7021</v>
      </c>
      <c r="R40" s="64">
        <v>183</v>
      </c>
    </row>
    <row r="41" spans="14:18">
      <c r="N41" s="136" t="s">
        <v>7</v>
      </c>
      <c r="O41" s="62" t="s">
        <v>26</v>
      </c>
      <c r="P41" s="136" t="s">
        <v>36</v>
      </c>
      <c r="Q41" s="140">
        <v>5817</v>
      </c>
      <c r="R41" s="64">
        <v>12</v>
      </c>
    </row>
    <row r="42" spans="14:18">
      <c r="N42" s="136" t="s">
        <v>20</v>
      </c>
      <c r="O42" s="62" t="s">
        <v>26</v>
      </c>
      <c r="P42" s="136" t="s">
        <v>16</v>
      </c>
      <c r="Q42" s="140">
        <v>3976</v>
      </c>
      <c r="R42" s="64">
        <v>72</v>
      </c>
    </row>
    <row r="43" spans="14:18">
      <c r="N43" s="136" t="s">
        <v>25</v>
      </c>
      <c r="O43" s="62" t="s">
        <v>33</v>
      </c>
      <c r="P43" s="136" t="s">
        <v>52</v>
      </c>
      <c r="Q43" s="140">
        <v>1134</v>
      </c>
      <c r="R43" s="64">
        <v>282</v>
      </c>
    </row>
    <row r="44" spans="14:18">
      <c r="N44" s="136" t="s">
        <v>45</v>
      </c>
      <c r="O44" s="62" t="s">
        <v>26</v>
      </c>
      <c r="P44" s="136" t="s">
        <v>53</v>
      </c>
      <c r="Q44" s="140">
        <v>6027</v>
      </c>
      <c r="R44" s="64">
        <v>144</v>
      </c>
    </row>
    <row r="45" spans="14:18">
      <c r="N45" s="136" t="s">
        <v>25</v>
      </c>
      <c r="O45" s="62" t="s">
        <v>8</v>
      </c>
      <c r="P45" s="136" t="s">
        <v>29</v>
      </c>
      <c r="Q45" s="140">
        <v>1904</v>
      </c>
      <c r="R45" s="64">
        <v>405</v>
      </c>
    </row>
    <row r="46" spans="14:18">
      <c r="N46" s="136" t="s">
        <v>39</v>
      </c>
      <c r="O46" s="62" t="s">
        <v>49</v>
      </c>
      <c r="P46" s="136" t="s">
        <v>14</v>
      </c>
      <c r="Q46" s="140">
        <v>3262</v>
      </c>
      <c r="R46" s="64">
        <v>75</v>
      </c>
    </row>
    <row r="47" spans="14:18">
      <c r="N47" s="136" t="s">
        <v>7</v>
      </c>
      <c r="O47" s="62" t="s">
        <v>49</v>
      </c>
      <c r="P47" s="136" t="s">
        <v>52</v>
      </c>
      <c r="Q47" s="140">
        <v>2289</v>
      </c>
      <c r="R47" s="64">
        <v>135</v>
      </c>
    </row>
    <row r="48" spans="14:18">
      <c r="N48" s="136" t="s">
        <v>42</v>
      </c>
      <c r="O48" s="62" t="s">
        <v>49</v>
      </c>
      <c r="P48" s="136" t="s">
        <v>52</v>
      </c>
      <c r="Q48" s="140">
        <v>6986</v>
      </c>
      <c r="R48" s="64">
        <v>21</v>
      </c>
    </row>
    <row r="49" spans="14:18">
      <c r="N49" s="136" t="s">
        <v>45</v>
      </c>
      <c r="O49" s="62" t="s">
        <v>33</v>
      </c>
      <c r="P49" s="136" t="s">
        <v>47</v>
      </c>
      <c r="Q49" s="140">
        <v>4417</v>
      </c>
      <c r="R49" s="64">
        <v>153</v>
      </c>
    </row>
    <row r="50" spans="14:18">
      <c r="N50" s="136" t="s">
        <v>25</v>
      </c>
      <c r="O50" s="62" t="s">
        <v>49</v>
      </c>
      <c r="P50" s="136" t="s">
        <v>24</v>
      </c>
      <c r="Q50" s="140">
        <v>1442</v>
      </c>
      <c r="R50" s="64">
        <v>15</v>
      </c>
    </row>
    <row r="51" spans="14:18">
      <c r="N51" s="136" t="s">
        <v>46</v>
      </c>
      <c r="O51" s="62" t="s">
        <v>13</v>
      </c>
      <c r="P51" s="136" t="s">
        <v>16</v>
      </c>
      <c r="Q51" s="140">
        <v>2415</v>
      </c>
      <c r="R51" s="64">
        <v>255</v>
      </c>
    </row>
    <row r="52" spans="14:18">
      <c r="N52" s="136" t="s">
        <v>45</v>
      </c>
      <c r="O52" s="62" t="s">
        <v>8</v>
      </c>
      <c r="P52" s="136" t="s">
        <v>38</v>
      </c>
      <c r="Q52" s="140">
        <v>238</v>
      </c>
      <c r="R52" s="64">
        <v>18</v>
      </c>
    </row>
    <row r="53" spans="14:18">
      <c r="N53" s="136" t="s">
        <v>25</v>
      </c>
      <c r="O53" s="62" t="s">
        <v>8</v>
      </c>
      <c r="P53" s="136" t="s">
        <v>47</v>
      </c>
      <c r="Q53" s="140">
        <v>4949</v>
      </c>
      <c r="R53" s="64">
        <v>189</v>
      </c>
    </row>
    <row r="54" spans="14:18">
      <c r="N54" s="136" t="s">
        <v>42</v>
      </c>
      <c r="O54" s="62" t="s">
        <v>33</v>
      </c>
      <c r="P54" s="136" t="s">
        <v>14</v>
      </c>
      <c r="Q54" s="140">
        <v>5075</v>
      </c>
      <c r="R54" s="64">
        <v>21</v>
      </c>
    </row>
    <row r="55" spans="14:18">
      <c r="N55" s="136" t="s">
        <v>46</v>
      </c>
      <c r="O55" s="62" t="s">
        <v>21</v>
      </c>
      <c r="P55" s="136" t="s">
        <v>29</v>
      </c>
      <c r="Q55" s="140">
        <v>9198</v>
      </c>
      <c r="R55" s="64">
        <v>36</v>
      </c>
    </row>
    <row r="56" spans="14:18">
      <c r="N56" s="136" t="s">
        <v>25</v>
      </c>
      <c r="O56" s="62" t="s">
        <v>49</v>
      </c>
      <c r="P56" s="136" t="s">
        <v>51</v>
      </c>
      <c r="Q56" s="140">
        <v>3339</v>
      </c>
      <c r="R56" s="64">
        <v>75</v>
      </c>
    </row>
    <row r="57" spans="14:18">
      <c r="N57" s="136" t="s">
        <v>7</v>
      </c>
      <c r="O57" s="62" t="s">
        <v>49</v>
      </c>
      <c r="P57" s="136" t="s">
        <v>32</v>
      </c>
      <c r="Q57" s="140">
        <v>5019</v>
      </c>
      <c r="R57" s="64">
        <v>156</v>
      </c>
    </row>
    <row r="58" spans="14:18">
      <c r="N58" s="136" t="s">
        <v>42</v>
      </c>
      <c r="O58" s="62" t="s">
        <v>21</v>
      </c>
      <c r="P58" s="136" t="s">
        <v>29</v>
      </c>
      <c r="Q58" s="140">
        <v>16184</v>
      </c>
      <c r="R58" s="64">
        <v>39</v>
      </c>
    </row>
    <row r="59" spans="14:18">
      <c r="N59" s="136" t="s">
        <v>25</v>
      </c>
      <c r="O59" s="62" t="s">
        <v>21</v>
      </c>
      <c r="P59" s="136" t="s">
        <v>44</v>
      </c>
      <c r="Q59" s="140">
        <v>497</v>
      </c>
      <c r="R59" s="64">
        <v>63</v>
      </c>
    </row>
    <row r="60" spans="14:18">
      <c r="N60" s="136" t="s">
        <v>45</v>
      </c>
      <c r="O60" s="62" t="s">
        <v>21</v>
      </c>
      <c r="P60" s="136" t="s">
        <v>51</v>
      </c>
      <c r="Q60" s="140">
        <v>8211</v>
      </c>
      <c r="R60" s="64">
        <v>75</v>
      </c>
    </row>
    <row r="61" spans="14:18">
      <c r="N61" s="136" t="s">
        <v>45</v>
      </c>
      <c r="O61" s="62" t="s">
        <v>33</v>
      </c>
      <c r="P61" s="136" t="s">
        <v>53</v>
      </c>
      <c r="Q61" s="140">
        <v>6580</v>
      </c>
      <c r="R61" s="64">
        <v>183</v>
      </c>
    </row>
    <row r="62" spans="14:18">
      <c r="N62" s="136" t="s">
        <v>20</v>
      </c>
      <c r="O62" s="62" t="s">
        <v>13</v>
      </c>
      <c r="P62" s="136" t="s">
        <v>11</v>
      </c>
      <c r="Q62" s="140">
        <v>4760</v>
      </c>
      <c r="R62" s="64">
        <v>69</v>
      </c>
    </row>
    <row r="63" spans="14:18">
      <c r="N63" s="136" t="s">
        <v>7</v>
      </c>
      <c r="O63" s="62" t="s">
        <v>21</v>
      </c>
      <c r="P63" s="136" t="s">
        <v>27</v>
      </c>
      <c r="Q63" s="140">
        <v>5439</v>
      </c>
      <c r="R63" s="64">
        <v>30</v>
      </c>
    </row>
    <row r="64" spans="14:18">
      <c r="N64" s="136" t="s">
        <v>20</v>
      </c>
      <c r="O64" s="62" t="s">
        <v>49</v>
      </c>
      <c r="P64" s="136" t="s">
        <v>32</v>
      </c>
      <c r="Q64" s="140">
        <v>1463</v>
      </c>
      <c r="R64" s="64">
        <v>39</v>
      </c>
    </row>
    <row r="65" spans="14:18">
      <c r="N65" s="136" t="s">
        <v>46</v>
      </c>
      <c r="O65" s="62" t="s">
        <v>49</v>
      </c>
      <c r="P65" s="136" t="s">
        <v>14</v>
      </c>
      <c r="Q65" s="140">
        <v>7777</v>
      </c>
      <c r="R65" s="64">
        <v>504</v>
      </c>
    </row>
    <row r="66" spans="14:18">
      <c r="N66" s="136" t="s">
        <v>17</v>
      </c>
      <c r="O66" s="62" t="s">
        <v>8</v>
      </c>
      <c r="P66" s="136" t="s">
        <v>51</v>
      </c>
      <c r="Q66" s="140">
        <v>1085</v>
      </c>
      <c r="R66" s="64">
        <v>273</v>
      </c>
    </row>
    <row r="67" spans="14:18">
      <c r="N67" s="136" t="s">
        <v>42</v>
      </c>
      <c r="O67" s="62" t="s">
        <v>8</v>
      </c>
      <c r="P67" s="136" t="s">
        <v>34</v>
      </c>
      <c r="Q67" s="140">
        <v>182</v>
      </c>
      <c r="R67" s="64">
        <v>48</v>
      </c>
    </row>
    <row r="68" spans="14:18">
      <c r="N68" s="136" t="s">
        <v>25</v>
      </c>
      <c r="O68" s="62" t="s">
        <v>49</v>
      </c>
      <c r="P68" s="136" t="s">
        <v>52</v>
      </c>
      <c r="Q68" s="140">
        <v>4242</v>
      </c>
      <c r="R68" s="64">
        <v>207</v>
      </c>
    </row>
    <row r="69" spans="14:18">
      <c r="N69" s="136" t="s">
        <v>25</v>
      </c>
      <c r="O69" s="62" t="s">
        <v>21</v>
      </c>
      <c r="P69" s="136" t="s">
        <v>14</v>
      </c>
      <c r="Q69" s="140">
        <v>6118</v>
      </c>
      <c r="R69" s="64">
        <v>9</v>
      </c>
    </row>
    <row r="70" spans="14:18">
      <c r="N70" s="136" t="s">
        <v>54</v>
      </c>
      <c r="O70" s="62" t="s">
        <v>21</v>
      </c>
      <c r="P70" s="136" t="s">
        <v>47</v>
      </c>
      <c r="Q70" s="140">
        <v>2317</v>
      </c>
      <c r="R70" s="64">
        <v>261</v>
      </c>
    </row>
    <row r="71" spans="14:18">
      <c r="N71" s="136" t="s">
        <v>25</v>
      </c>
      <c r="O71" s="62" t="s">
        <v>33</v>
      </c>
      <c r="P71" s="136" t="s">
        <v>29</v>
      </c>
      <c r="Q71" s="140">
        <v>938</v>
      </c>
      <c r="R71" s="64">
        <v>6</v>
      </c>
    </row>
    <row r="72" spans="14:18">
      <c r="N72" s="136" t="s">
        <v>12</v>
      </c>
      <c r="O72" s="62" t="s">
        <v>8</v>
      </c>
      <c r="P72" s="136" t="s">
        <v>24</v>
      </c>
      <c r="Q72" s="140">
        <v>9709</v>
      </c>
      <c r="R72" s="64">
        <v>30</v>
      </c>
    </row>
    <row r="73" spans="14:18">
      <c r="N73" s="136" t="s">
        <v>39</v>
      </c>
      <c r="O73" s="62" t="s">
        <v>49</v>
      </c>
      <c r="P73" s="136" t="s">
        <v>41</v>
      </c>
      <c r="Q73" s="140">
        <v>2205</v>
      </c>
      <c r="R73" s="64">
        <v>138</v>
      </c>
    </row>
    <row r="74" spans="14:18">
      <c r="N74" s="136" t="s">
        <v>39</v>
      </c>
      <c r="O74" s="62" t="s">
        <v>8</v>
      </c>
      <c r="P74" s="136" t="s">
        <v>32</v>
      </c>
      <c r="Q74" s="140">
        <v>4487</v>
      </c>
      <c r="R74" s="64">
        <v>111</v>
      </c>
    </row>
    <row r="75" spans="14:18">
      <c r="N75" s="136" t="s">
        <v>42</v>
      </c>
      <c r="O75" s="62" t="s">
        <v>13</v>
      </c>
      <c r="P75" s="136" t="s">
        <v>22</v>
      </c>
      <c r="Q75" s="140">
        <v>2415</v>
      </c>
      <c r="R75" s="64">
        <v>15</v>
      </c>
    </row>
    <row r="76" spans="14:18">
      <c r="N76" s="136" t="s">
        <v>7</v>
      </c>
      <c r="O76" s="62" t="s">
        <v>49</v>
      </c>
      <c r="P76" s="136" t="s">
        <v>38</v>
      </c>
      <c r="Q76" s="140">
        <v>4018</v>
      </c>
      <c r="R76" s="64">
        <v>162</v>
      </c>
    </row>
    <row r="77" spans="14:18">
      <c r="N77" s="136" t="s">
        <v>42</v>
      </c>
      <c r="O77" s="62" t="s">
        <v>49</v>
      </c>
      <c r="P77" s="136" t="s">
        <v>38</v>
      </c>
      <c r="Q77" s="140">
        <v>861</v>
      </c>
      <c r="R77" s="64">
        <v>195</v>
      </c>
    </row>
    <row r="78" spans="14:18">
      <c r="N78" s="136" t="s">
        <v>54</v>
      </c>
      <c r="O78" s="62" t="s">
        <v>33</v>
      </c>
      <c r="P78" s="136" t="s">
        <v>16</v>
      </c>
      <c r="Q78" s="140">
        <v>5586</v>
      </c>
      <c r="R78" s="64">
        <v>525</v>
      </c>
    </row>
    <row r="79" spans="14:18">
      <c r="N79" s="136" t="s">
        <v>39</v>
      </c>
      <c r="O79" s="62" t="s">
        <v>49</v>
      </c>
      <c r="P79" s="136" t="s">
        <v>30</v>
      </c>
      <c r="Q79" s="140">
        <v>2226</v>
      </c>
      <c r="R79" s="64">
        <v>48</v>
      </c>
    </row>
    <row r="80" spans="14:18">
      <c r="N80" s="136" t="s">
        <v>17</v>
      </c>
      <c r="O80" s="62" t="s">
        <v>49</v>
      </c>
      <c r="P80" s="136" t="s">
        <v>53</v>
      </c>
      <c r="Q80" s="140">
        <v>14329</v>
      </c>
      <c r="R80" s="64">
        <v>150</v>
      </c>
    </row>
    <row r="81" spans="14:18">
      <c r="N81" s="136" t="s">
        <v>17</v>
      </c>
      <c r="O81" s="62" t="s">
        <v>49</v>
      </c>
      <c r="P81" s="136" t="s">
        <v>41</v>
      </c>
      <c r="Q81" s="140">
        <v>8463</v>
      </c>
      <c r="R81" s="64">
        <v>492</v>
      </c>
    </row>
    <row r="82" spans="14:18">
      <c r="N82" s="136" t="s">
        <v>42</v>
      </c>
      <c r="O82" s="62" t="s">
        <v>49</v>
      </c>
      <c r="P82" s="136" t="s">
        <v>51</v>
      </c>
      <c r="Q82" s="140">
        <v>2891</v>
      </c>
      <c r="R82" s="64">
        <v>102</v>
      </c>
    </row>
    <row r="83" spans="14:18">
      <c r="N83" s="136" t="s">
        <v>46</v>
      </c>
      <c r="O83" s="62" t="s">
        <v>21</v>
      </c>
      <c r="P83" s="136" t="s">
        <v>47</v>
      </c>
      <c r="Q83" s="140">
        <v>3773</v>
      </c>
      <c r="R83" s="64">
        <v>165</v>
      </c>
    </row>
    <row r="84" spans="14:18">
      <c r="N84" s="136" t="s">
        <v>20</v>
      </c>
      <c r="O84" s="62" t="s">
        <v>21</v>
      </c>
      <c r="P84" s="136" t="s">
        <v>53</v>
      </c>
      <c r="Q84" s="140">
        <v>854</v>
      </c>
      <c r="R84" s="64">
        <v>309</v>
      </c>
    </row>
    <row r="85" spans="14:18">
      <c r="N85" s="136" t="s">
        <v>25</v>
      </c>
      <c r="O85" s="62" t="s">
        <v>21</v>
      </c>
      <c r="P85" s="136" t="s">
        <v>32</v>
      </c>
      <c r="Q85" s="140">
        <v>4970</v>
      </c>
      <c r="R85" s="64">
        <v>156</v>
      </c>
    </row>
    <row r="86" spans="14:18">
      <c r="N86" s="136" t="s">
        <v>17</v>
      </c>
      <c r="O86" s="62" t="s">
        <v>13</v>
      </c>
      <c r="P86" s="136" t="s">
        <v>50</v>
      </c>
      <c r="Q86" s="140">
        <v>98</v>
      </c>
      <c r="R86" s="64">
        <v>159</v>
      </c>
    </row>
    <row r="87" spans="14:18">
      <c r="N87" s="136" t="s">
        <v>42</v>
      </c>
      <c r="O87" s="62" t="s">
        <v>13</v>
      </c>
      <c r="P87" s="136" t="s">
        <v>24</v>
      </c>
      <c r="Q87" s="140">
        <v>13391</v>
      </c>
      <c r="R87" s="64">
        <v>201</v>
      </c>
    </row>
    <row r="88" spans="14:18">
      <c r="N88" s="136" t="s">
        <v>12</v>
      </c>
      <c r="O88" s="62" t="s">
        <v>26</v>
      </c>
      <c r="P88" s="136" t="s">
        <v>34</v>
      </c>
      <c r="Q88" s="140">
        <v>8890</v>
      </c>
      <c r="R88" s="64">
        <v>210</v>
      </c>
    </row>
    <row r="89" spans="14:18">
      <c r="N89" s="136" t="s">
        <v>45</v>
      </c>
      <c r="O89" s="62" t="s">
        <v>33</v>
      </c>
      <c r="P89" s="136" t="s">
        <v>11</v>
      </c>
      <c r="Q89" s="140">
        <v>56</v>
      </c>
      <c r="R89" s="64">
        <v>51</v>
      </c>
    </row>
    <row r="90" spans="14:18">
      <c r="N90" s="136" t="s">
        <v>46</v>
      </c>
      <c r="O90" s="62" t="s">
        <v>21</v>
      </c>
      <c r="P90" s="136" t="s">
        <v>27</v>
      </c>
      <c r="Q90" s="140">
        <v>3339</v>
      </c>
      <c r="R90" s="64">
        <v>39</v>
      </c>
    </row>
    <row r="91" spans="14:18">
      <c r="N91" s="136" t="s">
        <v>54</v>
      </c>
      <c r="O91" s="62" t="s">
        <v>13</v>
      </c>
      <c r="P91" s="136" t="s">
        <v>22</v>
      </c>
      <c r="Q91" s="140">
        <v>3808</v>
      </c>
      <c r="R91" s="64">
        <v>279</v>
      </c>
    </row>
    <row r="92" spans="14:18">
      <c r="N92" s="136" t="s">
        <v>54</v>
      </c>
      <c r="O92" s="62" t="s">
        <v>33</v>
      </c>
      <c r="P92" s="136" t="s">
        <v>11</v>
      </c>
      <c r="Q92" s="140">
        <v>63</v>
      </c>
      <c r="R92" s="64">
        <v>123</v>
      </c>
    </row>
    <row r="93" spans="14:18">
      <c r="N93" s="136" t="s">
        <v>45</v>
      </c>
      <c r="O93" s="62" t="s">
        <v>26</v>
      </c>
      <c r="P93" s="136" t="s">
        <v>52</v>
      </c>
      <c r="Q93" s="140">
        <v>7812</v>
      </c>
      <c r="R93" s="64">
        <v>81</v>
      </c>
    </row>
    <row r="94" spans="14:18">
      <c r="N94" s="136" t="s">
        <v>7</v>
      </c>
      <c r="O94" s="62" t="s">
        <v>8</v>
      </c>
      <c r="P94" s="136" t="s">
        <v>38</v>
      </c>
      <c r="Q94" s="140">
        <v>7693</v>
      </c>
      <c r="R94" s="64">
        <v>21</v>
      </c>
    </row>
    <row r="95" spans="14:18">
      <c r="N95" s="136" t="s">
        <v>46</v>
      </c>
      <c r="O95" s="62" t="s">
        <v>21</v>
      </c>
      <c r="P95" s="136" t="s">
        <v>53</v>
      </c>
      <c r="Q95" s="140">
        <v>973</v>
      </c>
      <c r="R95" s="64">
        <v>162</v>
      </c>
    </row>
    <row r="96" spans="14:18">
      <c r="N96" s="136" t="s">
        <v>54</v>
      </c>
      <c r="O96" s="62" t="s">
        <v>13</v>
      </c>
      <c r="P96" s="136" t="s">
        <v>44</v>
      </c>
      <c r="Q96" s="140">
        <v>567</v>
      </c>
      <c r="R96" s="64">
        <v>228</v>
      </c>
    </row>
    <row r="97" spans="14:18">
      <c r="N97" s="136" t="s">
        <v>54</v>
      </c>
      <c r="O97" s="62" t="s">
        <v>21</v>
      </c>
      <c r="P97" s="136" t="s">
        <v>51</v>
      </c>
      <c r="Q97" s="140">
        <v>2471</v>
      </c>
      <c r="R97" s="64">
        <v>342</v>
      </c>
    </row>
    <row r="98" spans="14:18">
      <c r="N98" s="136" t="s">
        <v>42</v>
      </c>
      <c r="O98" s="62" t="s">
        <v>33</v>
      </c>
      <c r="P98" s="136" t="s">
        <v>11</v>
      </c>
      <c r="Q98" s="140">
        <v>7189</v>
      </c>
      <c r="R98" s="64">
        <v>54</v>
      </c>
    </row>
    <row r="99" spans="14:18">
      <c r="N99" s="136" t="s">
        <v>20</v>
      </c>
      <c r="O99" s="62" t="s">
        <v>13</v>
      </c>
      <c r="P99" s="136" t="s">
        <v>53</v>
      </c>
      <c r="Q99" s="140">
        <v>7455</v>
      </c>
      <c r="R99" s="64">
        <v>216</v>
      </c>
    </row>
    <row r="100" spans="14:18">
      <c r="N100" s="136" t="s">
        <v>46</v>
      </c>
      <c r="O100" s="62" t="s">
        <v>49</v>
      </c>
      <c r="P100" s="136" t="s">
        <v>50</v>
      </c>
      <c r="Q100" s="140">
        <v>3108</v>
      </c>
      <c r="R100" s="64">
        <v>54</v>
      </c>
    </row>
    <row r="101" spans="14:18">
      <c r="N101" s="136" t="s">
        <v>25</v>
      </c>
      <c r="O101" s="62" t="s">
        <v>33</v>
      </c>
      <c r="P101" s="136" t="s">
        <v>27</v>
      </c>
      <c r="Q101" s="140">
        <v>469</v>
      </c>
      <c r="R101" s="64">
        <v>75</v>
      </c>
    </row>
    <row r="102" spans="14:18">
      <c r="N102" s="136" t="s">
        <v>17</v>
      </c>
      <c r="O102" s="62" t="s">
        <v>8</v>
      </c>
      <c r="P102" s="136" t="s">
        <v>47</v>
      </c>
      <c r="Q102" s="140">
        <v>2737</v>
      </c>
      <c r="R102" s="64">
        <v>93</v>
      </c>
    </row>
    <row r="103" spans="14:18">
      <c r="N103" s="136" t="s">
        <v>17</v>
      </c>
      <c r="O103" s="62" t="s">
        <v>8</v>
      </c>
      <c r="P103" s="136" t="s">
        <v>27</v>
      </c>
      <c r="Q103" s="140">
        <v>4305</v>
      </c>
      <c r="R103" s="64">
        <v>156</v>
      </c>
    </row>
    <row r="104" spans="14:18">
      <c r="N104" s="136" t="s">
        <v>17</v>
      </c>
      <c r="O104" s="62" t="s">
        <v>33</v>
      </c>
      <c r="P104" s="136" t="s">
        <v>32</v>
      </c>
      <c r="Q104" s="140">
        <v>2408</v>
      </c>
      <c r="R104" s="64">
        <v>9</v>
      </c>
    </row>
    <row r="105" spans="14:18">
      <c r="N105" s="136" t="s">
        <v>46</v>
      </c>
      <c r="O105" s="62" t="s">
        <v>21</v>
      </c>
      <c r="P105" s="136" t="s">
        <v>38</v>
      </c>
      <c r="Q105" s="140">
        <v>1281</v>
      </c>
      <c r="R105" s="64">
        <v>18</v>
      </c>
    </row>
    <row r="106" spans="14:18">
      <c r="N106" s="136" t="s">
        <v>7</v>
      </c>
      <c r="O106" s="62" t="s">
        <v>13</v>
      </c>
      <c r="P106" s="136" t="s">
        <v>14</v>
      </c>
      <c r="Q106" s="140">
        <v>12348</v>
      </c>
      <c r="R106" s="64">
        <v>234</v>
      </c>
    </row>
    <row r="107" spans="14:18">
      <c r="N107" s="136" t="s">
        <v>46</v>
      </c>
      <c r="O107" s="62" t="s">
        <v>49</v>
      </c>
      <c r="P107" s="136" t="s">
        <v>53</v>
      </c>
      <c r="Q107" s="140">
        <v>3689</v>
      </c>
      <c r="R107" s="64">
        <v>312</v>
      </c>
    </row>
    <row r="108" spans="14:18">
      <c r="N108" s="136" t="s">
        <v>39</v>
      </c>
      <c r="O108" s="62" t="s">
        <v>21</v>
      </c>
      <c r="P108" s="136" t="s">
        <v>38</v>
      </c>
      <c r="Q108" s="140">
        <v>2870</v>
      </c>
      <c r="R108" s="64">
        <v>300</v>
      </c>
    </row>
    <row r="109" spans="14:18">
      <c r="N109" s="136" t="s">
        <v>45</v>
      </c>
      <c r="O109" s="62" t="s">
        <v>21</v>
      </c>
      <c r="P109" s="136" t="s">
        <v>52</v>
      </c>
      <c r="Q109" s="140">
        <v>798</v>
      </c>
      <c r="R109" s="64">
        <v>519</v>
      </c>
    </row>
    <row r="110" spans="14:18">
      <c r="N110" s="136" t="s">
        <v>20</v>
      </c>
      <c r="O110" s="62" t="s">
        <v>8</v>
      </c>
      <c r="P110" s="136" t="s">
        <v>44</v>
      </c>
      <c r="Q110" s="140">
        <v>2933</v>
      </c>
      <c r="R110" s="64">
        <v>9</v>
      </c>
    </row>
    <row r="111" spans="14:18">
      <c r="N111" s="136" t="s">
        <v>42</v>
      </c>
      <c r="O111" s="62" t="s">
        <v>13</v>
      </c>
      <c r="P111" s="136" t="s">
        <v>18</v>
      </c>
      <c r="Q111" s="140">
        <v>2744</v>
      </c>
      <c r="R111" s="64">
        <v>9</v>
      </c>
    </row>
    <row r="112" spans="14:18">
      <c r="N112" s="136" t="s">
        <v>7</v>
      </c>
      <c r="O112" s="62" t="s">
        <v>21</v>
      </c>
      <c r="P112" s="136" t="s">
        <v>30</v>
      </c>
      <c r="Q112" s="140">
        <v>9772</v>
      </c>
      <c r="R112" s="64">
        <v>90</v>
      </c>
    </row>
    <row r="113" spans="14:18">
      <c r="N113" s="136" t="s">
        <v>39</v>
      </c>
      <c r="O113" s="62" t="s">
        <v>49</v>
      </c>
      <c r="P113" s="136" t="s">
        <v>27</v>
      </c>
      <c r="Q113" s="140">
        <v>1568</v>
      </c>
      <c r="R113" s="64">
        <v>96</v>
      </c>
    </row>
    <row r="114" spans="14:18">
      <c r="N114" s="136" t="s">
        <v>45</v>
      </c>
      <c r="O114" s="62" t="s">
        <v>21</v>
      </c>
      <c r="P114" s="136" t="s">
        <v>29</v>
      </c>
      <c r="Q114" s="140">
        <v>11417</v>
      </c>
      <c r="R114" s="64">
        <v>21</v>
      </c>
    </row>
    <row r="115" spans="14:18">
      <c r="N115" s="136" t="s">
        <v>7</v>
      </c>
      <c r="O115" s="62" t="s">
        <v>49</v>
      </c>
      <c r="P115" s="136" t="s">
        <v>50</v>
      </c>
      <c r="Q115" s="140">
        <v>6748</v>
      </c>
      <c r="R115" s="64">
        <v>48</v>
      </c>
    </row>
    <row r="116" spans="14:18">
      <c r="N116" s="136" t="s">
        <v>54</v>
      </c>
      <c r="O116" s="62" t="s">
        <v>21</v>
      </c>
      <c r="P116" s="136" t="s">
        <v>52</v>
      </c>
      <c r="Q116" s="140">
        <v>1407</v>
      </c>
      <c r="R116" s="64">
        <v>72</v>
      </c>
    </row>
    <row r="117" spans="14:18">
      <c r="N117" s="136" t="s">
        <v>12</v>
      </c>
      <c r="O117" s="62" t="s">
        <v>13</v>
      </c>
      <c r="P117" s="136" t="s">
        <v>51</v>
      </c>
      <c r="Q117" s="140">
        <v>2023</v>
      </c>
      <c r="R117" s="64">
        <v>168</v>
      </c>
    </row>
    <row r="118" spans="14:18">
      <c r="N118" s="136" t="s">
        <v>42</v>
      </c>
      <c r="O118" s="62" t="s">
        <v>26</v>
      </c>
      <c r="P118" s="136" t="s">
        <v>50</v>
      </c>
      <c r="Q118" s="140">
        <v>5236</v>
      </c>
      <c r="R118" s="64">
        <v>51</v>
      </c>
    </row>
    <row r="119" spans="14:18">
      <c r="N119" s="136" t="s">
        <v>20</v>
      </c>
      <c r="O119" s="62" t="s">
        <v>21</v>
      </c>
      <c r="P119" s="136" t="s">
        <v>38</v>
      </c>
      <c r="Q119" s="140">
        <v>1925</v>
      </c>
      <c r="R119" s="64">
        <v>192</v>
      </c>
    </row>
    <row r="120" spans="14:18">
      <c r="N120" s="136" t="s">
        <v>39</v>
      </c>
      <c r="O120" s="62" t="s">
        <v>8</v>
      </c>
      <c r="P120" s="136" t="s">
        <v>16</v>
      </c>
      <c r="Q120" s="140">
        <v>6608</v>
      </c>
      <c r="R120" s="64">
        <v>225</v>
      </c>
    </row>
    <row r="121" spans="14:18">
      <c r="N121" s="136" t="s">
        <v>25</v>
      </c>
      <c r="O121" s="62" t="s">
        <v>49</v>
      </c>
      <c r="P121" s="136" t="s">
        <v>50</v>
      </c>
      <c r="Q121" s="140">
        <v>8008</v>
      </c>
      <c r="R121" s="64">
        <v>456</v>
      </c>
    </row>
    <row r="122" spans="14:18">
      <c r="N122" s="136" t="s">
        <v>54</v>
      </c>
      <c r="O122" s="62" t="s">
        <v>49</v>
      </c>
      <c r="P122" s="136" t="s">
        <v>27</v>
      </c>
      <c r="Q122" s="140">
        <v>1428</v>
      </c>
      <c r="R122" s="64">
        <v>93</v>
      </c>
    </row>
    <row r="123" spans="14:18">
      <c r="N123" s="136" t="s">
        <v>25</v>
      </c>
      <c r="O123" s="62" t="s">
        <v>49</v>
      </c>
      <c r="P123" s="136" t="s">
        <v>18</v>
      </c>
      <c r="Q123" s="140">
        <v>525</v>
      </c>
      <c r="R123" s="64">
        <v>48</v>
      </c>
    </row>
    <row r="124" spans="14:18">
      <c r="N124" s="136" t="s">
        <v>25</v>
      </c>
      <c r="O124" s="62" t="s">
        <v>8</v>
      </c>
      <c r="P124" s="136" t="s">
        <v>22</v>
      </c>
      <c r="Q124" s="140">
        <v>1505</v>
      </c>
      <c r="R124" s="64">
        <v>102</v>
      </c>
    </row>
    <row r="125" spans="14:18">
      <c r="N125" s="136" t="s">
        <v>39</v>
      </c>
      <c r="O125" s="62" t="s">
        <v>13</v>
      </c>
      <c r="P125" s="136" t="s">
        <v>9</v>
      </c>
      <c r="Q125" s="140">
        <v>6755</v>
      </c>
      <c r="R125" s="64">
        <v>252</v>
      </c>
    </row>
    <row r="126" spans="14:18">
      <c r="N126" s="136" t="s">
        <v>45</v>
      </c>
      <c r="O126" s="62" t="s">
        <v>8</v>
      </c>
      <c r="P126" s="136" t="s">
        <v>22</v>
      </c>
      <c r="Q126" s="140">
        <v>11571</v>
      </c>
      <c r="R126" s="64">
        <v>138</v>
      </c>
    </row>
    <row r="127" spans="14:18">
      <c r="N127" s="136" t="s">
        <v>7</v>
      </c>
      <c r="O127" s="62" t="s">
        <v>33</v>
      </c>
      <c r="P127" s="136" t="s">
        <v>27</v>
      </c>
      <c r="Q127" s="140">
        <v>2541</v>
      </c>
      <c r="R127" s="64">
        <v>90</v>
      </c>
    </row>
    <row r="128" spans="14:18">
      <c r="N128" s="136" t="s">
        <v>20</v>
      </c>
      <c r="O128" s="62" t="s">
        <v>8</v>
      </c>
      <c r="P128" s="136" t="s">
        <v>9</v>
      </c>
      <c r="Q128" s="140">
        <v>1526</v>
      </c>
      <c r="R128" s="64">
        <v>240</v>
      </c>
    </row>
    <row r="129" spans="14:18">
      <c r="N129" s="136" t="s">
        <v>7</v>
      </c>
      <c r="O129" s="62" t="s">
        <v>33</v>
      </c>
      <c r="P129" s="136" t="s">
        <v>18</v>
      </c>
      <c r="Q129" s="140">
        <v>6125</v>
      </c>
      <c r="R129" s="64">
        <v>102</v>
      </c>
    </row>
    <row r="130" spans="14:18">
      <c r="N130" s="136" t="s">
        <v>20</v>
      </c>
      <c r="O130" s="62" t="s">
        <v>13</v>
      </c>
      <c r="P130" s="136" t="s">
        <v>52</v>
      </c>
      <c r="Q130" s="140">
        <v>847</v>
      </c>
      <c r="R130" s="64">
        <v>129</v>
      </c>
    </row>
    <row r="131" spans="14:18">
      <c r="N131" s="136" t="s">
        <v>12</v>
      </c>
      <c r="O131" s="62" t="s">
        <v>13</v>
      </c>
      <c r="P131" s="136" t="s">
        <v>52</v>
      </c>
      <c r="Q131" s="140">
        <v>4753</v>
      </c>
      <c r="R131" s="64">
        <v>300</v>
      </c>
    </row>
    <row r="132" spans="14:18">
      <c r="N132" s="136" t="s">
        <v>25</v>
      </c>
      <c r="O132" s="62" t="s">
        <v>33</v>
      </c>
      <c r="P132" s="136" t="s">
        <v>30</v>
      </c>
      <c r="Q132" s="140">
        <v>959</v>
      </c>
      <c r="R132" s="64">
        <v>135</v>
      </c>
    </row>
    <row r="133" spans="14:18">
      <c r="N133" s="136" t="s">
        <v>39</v>
      </c>
      <c r="O133" s="62" t="s">
        <v>13</v>
      </c>
      <c r="P133" s="136" t="s">
        <v>48</v>
      </c>
      <c r="Q133" s="140">
        <v>2793</v>
      </c>
      <c r="R133" s="64">
        <v>114</v>
      </c>
    </row>
    <row r="134" spans="14:18">
      <c r="N134" s="136" t="s">
        <v>39</v>
      </c>
      <c r="O134" s="62" t="s">
        <v>13</v>
      </c>
      <c r="P134" s="136" t="s">
        <v>16</v>
      </c>
      <c r="Q134" s="140">
        <v>4606</v>
      </c>
      <c r="R134" s="64">
        <v>63</v>
      </c>
    </row>
    <row r="135" spans="14:18">
      <c r="N135" s="136" t="s">
        <v>39</v>
      </c>
      <c r="O135" s="62" t="s">
        <v>21</v>
      </c>
      <c r="P135" s="136" t="s">
        <v>51</v>
      </c>
      <c r="Q135" s="140">
        <v>5551</v>
      </c>
      <c r="R135" s="64">
        <v>252</v>
      </c>
    </row>
    <row r="136" spans="14:18">
      <c r="N136" s="136" t="s">
        <v>54</v>
      </c>
      <c r="O136" s="62" t="s">
        <v>21</v>
      </c>
      <c r="P136" s="136" t="s">
        <v>14</v>
      </c>
      <c r="Q136" s="140">
        <v>6657</v>
      </c>
      <c r="R136" s="64">
        <v>303</v>
      </c>
    </row>
    <row r="137" spans="14:18">
      <c r="N137" s="136" t="s">
        <v>39</v>
      </c>
      <c r="O137" s="62" t="s">
        <v>26</v>
      </c>
      <c r="P137" s="136" t="s">
        <v>32</v>
      </c>
      <c r="Q137" s="140">
        <v>4438</v>
      </c>
      <c r="R137" s="64">
        <v>246</v>
      </c>
    </row>
    <row r="138" spans="14:18">
      <c r="N138" s="136" t="s">
        <v>12</v>
      </c>
      <c r="O138" s="62" t="s">
        <v>33</v>
      </c>
      <c r="P138" s="136" t="s">
        <v>36</v>
      </c>
      <c r="Q138" s="140">
        <v>168</v>
      </c>
      <c r="R138" s="64">
        <v>84</v>
      </c>
    </row>
    <row r="139" spans="14:18">
      <c r="N139" s="136" t="s">
        <v>39</v>
      </c>
      <c r="O139" s="62" t="s">
        <v>49</v>
      </c>
      <c r="P139" s="136" t="s">
        <v>32</v>
      </c>
      <c r="Q139" s="140">
        <v>7777</v>
      </c>
      <c r="R139" s="64">
        <v>39</v>
      </c>
    </row>
    <row r="140" spans="14:18">
      <c r="N140" s="136" t="s">
        <v>42</v>
      </c>
      <c r="O140" s="62" t="s">
        <v>21</v>
      </c>
      <c r="P140" s="136" t="s">
        <v>32</v>
      </c>
      <c r="Q140" s="140">
        <v>3339</v>
      </c>
      <c r="R140" s="64">
        <v>348</v>
      </c>
    </row>
    <row r="141" spans="14:18">
      <c r="N141" s="136" t="s">
        <v>39</v>
      </c>
      <c r="O141" s="62" t="s">
        <v>8</v>
      </c>
      <c r="P141" s="136" t="s">
        <v>30</v>
      </c>
      <c r="Q141" s="140">
        <v>6391</v>
      </c>
      <c r="R141" s="64">
        <v>48</v>
      </c>
    </row>
    <row r="142" spans="14:18">
      <c r="N142" s="136" t="s">
        <v>42</v>
      </c>
      <c r="O142" s="62" t="s">
        <v>8</v>
      </c>
      <c r="P142" s="136" t="s">
        <v>36</v>
      </c>
      <c r="Q142" s="140">
        <v>518</v>
      </c>
      <c r="R142" s="64">
        <v>75</v>
      </c>
    </row>
    <row r="143" spans="14:18">
      <c r="N143" s="136" t="s">
        <v>39</v>
      </c>
      <c r="O143" s="62" t="s">
        <v>33</v>
      </c>
      <c r="P143" s="136" t="s">
        <v>53</v>
      </c>
      <c r="Q143" s="140">
        <v>5677</v>
      </c>
      <c r="R143" s="64">
        <v>258</v>
      </c>
    </row>
    <row r="144" spans="14:18">
      <c r="N144" s="136" t="s">
        <v>25</v>
      </c>
      <c r="O144" s="62" t="s">
        <v>26</v>
      </c>
      <c r="P144" s="136" t="s">
        <v>32</v>
      </c>
      <c r="Q144" s="140">
        <v>6048</v>
      </c>
      <c r="R144" s="64">
        <v>27</v>
      </c>
    </row>
    <row r="145" spans="14:18">
      <c r="N145" s="136" t="s">
        <v>12</v>
      </c>
      <c r="O145" s="62" t="s">
        <v>33</v>
      </c>
      <c r="P145" s="136" t="s">
        <v>14</v>
      </c>
      <c r="Q145" s="140">
        <v>3752</v>
      </c>
      <c r="R145" s="64">
        <v>213</v>
      </c>
    </row>
    <row r="146" spans="14:18">
      <c r="N146" s="136" t="s">
        <v>42</v>
      </c>
      <c r="O146" s="62" t="s">
        <v>13</v>
      </c>
      <c r="P146" s="136" t="s">
        <v>51</v>
      </c>
      <c r="Q146" s="140">
        <v>4480</v>
      </c>
      <c r="R146" s="64">
        <v>357</v>
      </c>
    </row>
    <row r="147" spans="14:18">
      <c r="N147" s="136" t="s">
        <v>17</v>
      </c>
      <c r="O147" s="62" t="s">
        <v>8</v>
      </c>
      <c r="P147" s="136" t="s">
        <v>18</v>
      </c>
      <c r="Q147" s="140">
        <v>259</v>
      </c>
      <c r="R147" s="64">
        <v>207</v>
      </c>
    </row>
    <row r="148" spans="14:18">
      <c r="N148" s="136" t="s">
        <v>12</v>
      </c>
      <c r="O148" s="62" t="s">
        <v>8</v>
      </c>
      <c r="P148" s="136" t="s">
        <v>9</v>
      </c>
      <c r="Q148" s="140">
        <v>42</v>
      </c>
      <c r="R148" s="64">
        <v>150</v>
      </c>
    </row>
    <row r="149" spans="14:18">
      <c r="N149" s="136" t="s">
        <v>20</v>
      </c>
      <c r="O149" s="62" t="s">
        <v>21</v>
      </c>
      <c r="P149" s="136" t="s">
        <v>50</v>
      </c>
      <c r="Q149" s="140">
        <v>98</v>
      </c>
      <c r="R149" s="64">
        <v>204</v>
      </c>
    </row>
    <row r="150" spans="14:18">
      <c r="N150" s="136" t="s">
        <v>39</v>
      </c>
      <c r="O150" s="62" t="s">
        <v>13</v>
      </c>
      <c r="P150" s="136" t="s">
        <v>52</v>
      </c>
      <c r="Q150" s="140">
        <v>2478</v>
      </c>
      <c r="R150" s="64">
        <v>21</v>
      </c>
    </row>
    <row r="151" spans="14:18">
      <c r="N151" s="136" t="s">
        <v>20</v>
      </c>
      <c r="O151" s="62" t="s">
        <v>49</v>
      </c>
      <c r="P151" s="136" t="s">
        <v>30</v>
      </c>
      <c r="Q151" s="140">
        <v>7847</v>
      </c>
      <c r="R151" s="64">
        <v>174</v>
      </c>
    </row>
    <row r="152" spans="14:18">
      <c r="N152" s="136" t="s">
        <v>45</v>
      </c>
      <c r="O152" s="62" t="s">
        <v>8</v>
      </c>
      <c r="P152" s="136" t="s">
        <v>32</v>
      </c>
      <c r="Q152" s="140">
        <v>9926</v>
      </c>
      <c r="R152" s="64">
        <v>201</v>
      </c>
    </row>
    <row r="153" spans="14:18">
      <c r="N153" s="136" t="s">
        <v>12</v>
      </c>
      <c r="O153" s="62" t="s">
        <v>33</v>
      </c>
      <c r="P153" s="136" t="s">
        <v>11</v>
      </c>
      <c r="Q153" s="140">
        <v>819</v>
      </c>
      <c r="R153" s="64">
        <v>510</v>
      </c>
    </row>
    <row r="154" spans="14:18">
      <c r="N154" s="136" t="s">
        <v>25</v>
      </c>
      <c r="O154" s="62" t="s">
        <v>26</v>
      </c>
      <c r="P154" s="136" t="s">
        <v>51</v>
      </c>
      <c r="Q154" s="140">
        <v>3052</v>
      </c>
      <c r="R154" s="64">
        <v>378</v>
      </c>
    </row>
    <row r="155" spans="14:18">
      <c r="N155" s="136" t="s">
        <v>17</v>
      </c>
      <c r="O155" s="62" t="s">
        <v>49</v>
      </c>
      <c r="P155" s="136" t="s">
        <v>44</v>
      </c>
      <c r="Q155" s="140">
        <v>6832</v>
      </c>
      <c r="R155" s="64">
        <v>27</v>
      </c>
    </row>
    <row r="156" spans="14:18">
      <c r="N156" s="136" t="s">
        <v>45</v>
      </c>
      <c r="O156" s="62" t="s">
        <v>26</v>
      </c>
      <c r="P156" s="136" t="s">
        <v>29</v>
      </c>
      <c r="Q156" s="140">
        <v>2016</v>
      </c>
      <c r="R156" s="64">
        <v>117</v>
      </c>
    </row>
    <row r="157" spans="14:18">
      <c r="N157" s="136" t="s">
        <v>25</v>
      </c>
      <c r="O157" s="62" t="s">
        <v>33</v>
      </c>
      <c r="P157" s="136" t="s">
        <v>44</v>
      </c>
      <c r="Q157" s="140">
        <v>7322</v>
      </c>
      <c r="R157" s="64">
        <v>36</v>
      </c>
    </row>
    <row r="158" spans="14:18">
      <c r="N158" s="136" t="s">
        <v>12</v>
      </c>
      <c r="O158" s="62" t="s">
        <v>13</v>
      </c>
      <c r="P158" s="136" t="s">
        <v>30</v>
      </c>
      <c r="Q158" s="140">
        <v>357</v>
      </c>
      <c r="R158" s="64">
        <v>126</v>
      </c>
    </row>
    <row r="159" spans="14:18">
      <c r="N159" s="136" t="s">
        <v>17</v>
      </c>
      <c r="O159" s="62" t="s">
        <v>26</v>
      </c>
      <c r="P159" s="136" t="s">
        <v>27</v>
      </c>
      <c r="Q159" s="140">
        <v>3192</v>
      </c>
      <c r="R159" s="64">
        <v>72</v>
      </c>
    </row>
    <row r="160" spans="14:18">
      <c r="N160" s="136" t="s">
        <v>39</v>
      </c>
      <c r="O160" s="62" t="s">
        <v>21</v>
      </c>
      <c r="P160" s="136" t="s">
        <v>36</v>
      </c>
      <c r="Q160" s="140">
        <v>8435</v>
      </c>
      <c r="R160" s="64">
        <v>42</v>
      </c>
    </row>
    <row r="161" spans="14:18">
      <c r="N161" s="136" t="s">
        <v>7</v>
      </c>
      <c r="O161" s="62" t="s">
        <v>26</v>
      </c>
      <c r="P161" s="136" t="s">
        <v>51</v>
      </c>
      <c r="Q161" s="140">
        <v>0</v>
      </c>
      <c r="R161" s="64">
        <v>135</v>
      </c>
    </row>
    <row r="162" spans="14:18">
      <c r="N162" s="136" t="s">
        <v>39</v>
      </c>
      <c r="O162" s="62" t="s">
        <v>49</v>
      </c>
      <c r="P162" s="136" t="s">
        <v>48</v>
      </c>
      <c r="Q162" s="140">
        <v>8862</v>
      </c>
      <c r="R162" s="64">
        <v>189</v>
      </c>
    </row>
    <row r="163" spans="14:18">
      <c r="N163" s="136" t="s">
        <v>25</v>
      </c>
      <c r="O163" s="62" t="s">
        <v>8</v>
      </c>
      <c r="P163" s="136" t="s">
        <v>53</v>
      </c>
      <c r="Q163" s="140">
        <v>3556</v>
      </c>
      <c r="R163" s="64">
        <v>459</v>
      </c>
    </row>
    <row r="164" spans="14:18">
      <c r="N164" s="136" t="s">
        <v>42</v>
      </c>
      <c r="O164" s="62" t="s">
        <v>49</v>
      </c>
      <c r="P164" s="136" t="s">
        <v>24</v>
      </c>
      <c r="Q164" s="140">
        <v>7280</v>
      </c>
      <c r="R164" s="64">
        <v>201</v>
      </c>
    </row>
    <row r="165" spans="14:18">
      <c r="N165" s="136" t="s">
        <v>25</v>
      </c>
      <c r="O165" s="62" t="s">
        <v>49</v>
      </c>
      <c r="P165" s="136" t="s">
        <v>9</v>
      </c>
      <c r="Q165" s="140">
        <v>3402</v>
      </c>
      <c r="R165" s="64">
        <v>366</v>
      </c>
    </row>
    <row r="166" spans="14:18">
      <c r="N166" s="136" t="s">
        <v>46</v>
      </c>
      <c r="O166" s="62" t="s">
        <v>8</v>
      </c>
      <c r="P166" s="136" t="s">
        <v>51</v>
      </c>
      <c r="Q166" s="140">
        <v>4592</v>
      </c>
      <c r="R166" s="64">
        <v>324</v>
      </c>
    </row>
    <row r="167" spans="14:18">
      <c r="N167" s="136" t="s">
        <v>17</v>
      </c>
      <c r="O167" s="62" t="s">
        <v>13</v>
      </c>
      <c r="P167" s="136" t="s">
        <v>24</v>
      </c>
      <c r="Q167" s="140">
        <v>7833</v>
      </c>
      <c r="R167" s="64">
        <v>243</v>
      </c>
    </row>
    <row r="168" spans="14:18">
      <c r="N168" s="136" t="s">
        <v>45</v>
      </c>
      <c r="O168" s="62" t="s">
        <v>26</v>
      </c>
      <c r="P168" s="136" t="s">
        <v>44</v>
      </c>
      <c r="Q168" s="140">
        <v>7651</v>
      </c>
      <c r="R168" s="64">
        <v>213</v>
      </c>
    </row>
    <row r="169" spans="14:18">
      <c r="N169" s="136" t="s">
        <v>7</v>
      </c>
      <c r="O169" s="62" t="s">
        <v>13</v>
      </c>
      <c r="P169" s="136" t="s">
        <v>9</v>
      </c>
      <c r="Q169" s="140">
        <v>2275</v>
      </c>
      <c r="R169" s="64">
        <v>447</v>
      </c>
    </row>
    <row r="170" spans="14:18">
      <c r="N170" s="136" t="s">
        <v>7</v>
      </c>
      <c r="O170" s="62" t="s">
        <v>33</v>
      </c>
      <c r="P170" s="136" t="s">
        <v>11</v>
      </c>
      <c r="Q170" s="140">
        <v>5670</v>
      </c>
      <c r="R170" s="64">
        <v>297</v>
      </c>
    </row>
    <row r="171" spans="14:18">
      <c r="N171" s="136" t="s">
        <v>39</v>
      </c>
      <c r="O171" s="62" t="s">
        <v>13</v>
      </c>
      <c r="P171" s="136" t="s">
        <v>29</v>
      </c>
      <c r="Q171" s="140">
        <v>2135</v>
      </c>
      <c r="R171" s="64">
        <v>27</v>
      </c>
    </row>
    <row r="172" spans="14:18">
      <c r="N172" s="136" t="s">
        <v>7</v>
      </c>
      <c r="O172" s="62" t="s">
        <v>49</v>
      </c>
      <c r="P172" s="136" t="s">
        <v>47</v>
      </c>
      <c r="Q172" s="140">
        <v>2779</v>
      </c>
      <c r="R172" s="64">
        <v>75</v>
      </c>
    </row>
    <row r="173" spans="14:18">
      <c r="N173" s="136" t="s">
        <v>54</v>
      </c>
      <c r="O173" s="62" t="s">
        <v>26</v>
      </c>
      <c r="P173" s="136" t="s">
        <v>30</v>
      </c>
      <c r="Q173" s="140">
        <v>12950</v>
      </c>
      <c r="R173" s="64">
        <v>30</v>
      </c>
    </row>
    <row r="174" spans="14:18">
      <c r="N174" s="136" t="s">
        <v>39</v>
      </c>
      <c r="O174" s="62" t="s">
        <v>21</v>
      </c>
      <c r="P174" s="136" t="s">
        <v>22</v>
      </c>
      <c r="Q174" s="140">
        <v>2646</v>
      </c>
      <c r="R174" s="64">
        <v>177</v>
      </c>
    </row>
    <row r="175" spans="14:18">
      <c r="N175" s="136" t="s">
        <v>7</v>
      </c>
      <c r="O175" s="62" t="s">
        <v>49</v>
      </c>
      <c r="P175" s="136" t="s">
        <v>30</v>
      </c>
      <c r="Q175" s="140">
        <v>3794</v>
      </c>
      <c r="R175" s="64">
        <v>159</v>
      </c>
    </row>
    <row r="176" spans="14:18">
      <c r="N176" s="136" t="s">
        <v>46</v>
      </c>
      <c r="O176" s="62" t="s">
        <v>13</v>
      </c>
      <c r="P176" s="136" t="s">
        <v>30</v>
      </c>
      <c r="Q176" s="140">
        <v>819</v>
      </c>
      <c r="R176" s="64">
        <v>306</v>
      </c>
    </row>
    <row r="177" spans="14:18">
      <c r="N177" s="136" t="s">
        <v>46</v>
      </c>
      <c r="O177" s="62" t="s">
        <v>49</v>
      </c>
      <c r="P177" s="136" t="s">
        <v>41</v>
      </c>
      <c r="Q177" s="140">
        <v>2583</v>
      </c>
      <c r="R177" s="64">
        <v>18</v>
      </c>
    </row>
    <row r="178" spans="14:18">
      <c r="N178" s="136" t="s">
        <v>39</v>
      </c>
      <c r="O178" s="62" t="s">
        <v>13</v>
      </c>
      <c r="P178" s="136" t="s">
        <v>38</v>
      </c>
      <c r="Q178" s="140">
        <v>4585</v>
      </c>
      <c r="R178" s="64">
        <v>240</v>
      </c>
    </row>
    <row r="179" spans="14:18">
      <c r="N179" s="136" t="s">
        <v>42</v>
      </c>
      <c r="O179" s="62" t="s">
        <v>49</v>
      </c>
      <c r="P179" s="136" t="s">
        <v>30</v>
      </c>
      <c r="Q179" s="140">
        <v>1652</v>
      </c>
      <c r="R179" s="64">
        <v>93</v>
      </c>
    </row>
    <row r="180" spans="14:18">
      <c r="N180" s="136" t="s">
        <v>54</v>
      </c>
      <c r="O180" s="62" t="s">
        <v>49</v>
      </c>
      <c r="P180" s="136" t="s">
        <v>50</v>
      </c>
      <c r="Q180" s="140">
        <v>4991</v>
      </c>
      <c r="R180" s="64">
        <v>9</v>
      </c>
    </row>
    <row r="181" spans="14:18">
      <c r="N181" s="136" t="s">
        <v>12</v>
      </c>
      <c r="O181" s="62" t="s">
        <v>49</v>
      </c>
      <c r="P181" s="136" t="s">
        <v>29</v>
      </c>
      <c r="Q181" s="140">
        <v>2009</v>
      </c>
      <c r="R181" s="64">
        <v>219</v>
      </c>
    </row>
    <row r="182" spans="14:18">
      <c r="N182" s="136" t="s">
        <v>45</v>
      </c>
      <c r="O182" s="62" t="s">
        <v>26</v>
      </c>
      <c r="P182" s="136" t="s">
        <v>36</v>
      </c>
      <c r="Q182" s="140">
        <v>1568</v>
      </c>
      <c r="R182" s="64">
        <v>141</v>
      </c>
    </row>
    <row r="183" spans="14:18">
      <c r="N183" s="136" t="s">
        <v>20</v>
      </c>
      <c r="O183" s="62" t="s">
        <v>8</v>
      </c>
      <c r="P183" s="136" t="s">
        <v>41</v>
      </c>
      <c r="Q183" s="140">
        <v>3388</v>
      </c>
      <c r="R183" s="64">
        <v>123</v>
      </c>
    </row>
    <row r="184" spans="14:18">
      <c r="N184" s="136" t="s">
        <v>7</v>
      </c>
      <c r="O184" s="62" t="s">
        <v>33</v>
      </c>
      <c r="P184" s="136" t="s">
        <v>48</v>
      </c>
      <c r="Q184" s="140">
        <v>623</v>
      </c>
      <c r="R184" s="64">
        <v>51</v>
      </c>
    </row>
    <row r="185" spans="14:18">
      <c r="N185" s="136" t="s">
        <v>25</v>
      </c>
      <c r="O185" s="62" t="s">
        <v>21</v>
      </c>
      <c r="P185" s="136" t="s">
        <v>18</v>
      </c>
      <c r="Q185" s="140">
        <v>10073</v>
      </c>
      <c r="R185" s="64">
        <v>120</v>
      </c>
    </row>
    <row r="186" spans="14:18">
      <c r="N186" s="136" t="s">
        <v>12</v>
      </c>
      <c r="O186" s="62" t="s">
        <v>26</v>
      </c>
      <c r="P186" s="136" t="s">
        <v>50</v>
      </c>
      <c r="Q186" s="140">
        <v>1561</v>
      </c>
      <c r="R186" s="64">
        <v>27</v>
      </c>
    </row>
    <row r="187" spans="14:18">
      <c r="N187" s="136" t="s">
        <v>17</v>
      </c>
      <c r="O187" s="62" t="s">
        <v>21</v>
      </c>
      <c r="P187" s="136" t="s">
        <v>52</v>
      </c>
      <c r="Q187" s="140">
        <v>11522</v>
      </c>
      <c r="R187" s="64">
        <v>204</v>
      </c>
    </row>
    <row r="188" spans="14:18">
      <c r="N188" s="136" t="s">
        <v>25</v>
      </c>
      <c r="O188" s="62" t="s">
        <v>33</v>
      </c>
      <c r="P188" s="136" t="s">
        <v>11</v>
      </c>
      <c r="Q188" s="140">
        <v>2317</v>
      </c>
      <c r="R188" s="64">
        <v>123</v>
      </c>
    </row>
    <row r="189" spans="14:18">
      <c r="N189" s="136" t="s">
        <v>54</v>
      </c>
      <c r="O189" s="62" t="s">
        <v>8</v>
      </c>
      <c r="P189" s="136" t="s">
        <v>53</v>
      </c>
      <c r="Q189" s="140">
        <v>3059</v>
      </c>
      <c r="R189" s="64">
        <v>27</v>
      </c>
    </row>
    <row r="190" spans="14:18">
      <c r="N190" s="136" t="s">
        <v>20</v>
      </c>
      <c r="O190" s="62" t="s">
        <v>8</v>
      </c>
      <c r="P190" s="136" t="s">
        <v>50</v>
      </c>
      <c r="Q190" s="140">
        <v>2324</v>
      </c>
      <c r="R190" s="64">
        <v>177</v>
      </c>
    </row>
    <row r="191" spans="14:18">
      <c r="N191" s="136" t="s">
        <v>46</v>
      </c>
      <c r="O191" s="62" t="s">
        <v>26</v>
      </c>
      <c r="P191" s="136" t="s">
        <v>50</v>
      </c>
      <c r="Q191" s="140">
        <v>4956</v>
      </c>
      <c r="R191" s="64">
        <v>171</v>
      </c>
    </row>
    <row r="192" spans="14:18">
      <c r="N192" s="136" t="s">
        <v>54</v>
      </c>
      <c r="O192" s="62" t="s">
        <v>49</v>
      </c>
      <c r="P192" s="136" t="s">
        <v>38</v>
      </c>
      <c r="Q192" s="140">
        <v>5355</v>
      </c>
      <c r="R192" s="64">
        <v>204</v>
      </c>
    </row>
    <row r="193" spans="14:18">
      <c r="N193" s="136" t="s">
        <v>46</v>
      </c>
      <c r="O193" s="62" t="s">
        <v>49</v>
      </c>
      <c r="P193" s="136" t="s">
        <v>16</v>
      </c>
      <c r="Q193" s="140">
        <v>7259</v>
      </c>
      <c r="R193" s="64">
        <v>276</v>
      </c>
    </row>
    <row r="194" spans="14:18">
      <c r="N194" s="136" t="s">
        <v>12</v>
      </c>
      <c r="O194" s="62" t="s">
        <v>8</v>
      </c>
      <c r="P194" s="136" t="s">
        <v>50</v>
      </c>
      <c r="Q194" s="140">
        <v>6279</v>
      </c>
      <c r="R194" s="64">
        <v>45</v>
      </c>
    </row>
    <row r="195" spans="14:18">
      <c r="N195" s="136" t="s">
        <v>7</v>
      </c>
      <c r="O195" s="62" t="s">
        <v>33</v>
      </c>
      <c r="P195" s="136" t="s">
        <v>51</v>
      </c>
      <c r="Q195" s="140">
        <v>2541</v>
      </c>
      <c r="R195" s="64">
        <v>45</v>
      </c>
    </row>
    <row r="196" spans="14:18">
      <c r="N196" s="136" t="s">
        <v>25</v>
      </c>
      <c r="O196" s="62" t="s">
        <v>13</v>
      </c>
      <c r="P196" s="136" t="s">
        <v>52</v>
      </c>
      <c r="Q196" s="140">
        <v>3864</v>
      </c>
      <c r="R196" s="64">
        <v>177</v>
      </c>
    </row>
    <row r="197" spans="14:18">
      <c r="N197" s="136" t="s">
        <v>42</v>
      </c>
      <c r="O197" s="62" t="s">
        <v>21</v>
      </c>
      <c r="P197" s="136" t="s">
        <v>11</v>
      </c>
      <c r="Q197" s="140">
        <v>6146</v>
      </c>
      <c r="R197" s="64">
        <v>63</v>
      </c>
    </row>
    <row r="198" spans="14:18">
      <c r="N198" s="136" t="s">
        <v>17</v>
      </c>
      <c r="O198" s="62" t="s">
        <v>26</v>
      </c>
      <c r="P198" s="136" t="s">
        <v>22</v>
      </c>
      <c r="Q198" s="140">
        <v>2639</v>
      </c>
      <c r="R198" s="64">
        <v>204</v>
      </c>
    </row>
    <row r="199" spans="14:18">
      <c r="N199" s="136" t="s">
        <v>12</v>
      </c>
      <c r="O199" s="62" t="s">
        <v>8</v>
      </c>
      <c r="P199" s="136" t="s">
        <v>36</v>
      </c>
      <c r="Q199" s="140">
        <v>1890</v>
      </c>
      <c r="R199" s="64">
        <v>195</v>
      </c>
    </row>
    <row r="200" spans="14:18">
      <c r="N200" s="136" t="s">
        <v>39</v>
      </c>
      <c r="O200" s="62" t="s">
        <v>49</v>
      </c>
      <c r="P200" s="136" t="s">
        <v>16</v>
      </c>
      <c r="Q200" s="140">
        <v>1932</v>
      </c>
      <c r="R200" s="64">
        <v>369</v>
      </c>
    </row>
    <row r="201" spans="14:18">
      <c r="N201" s="136" t="s">
        <v>46</v>
      </c>
      <c r="O201" s="62" t="s">
        <v>49</v>
      </c>
      <c r="P201" s="136" t="s">
        <v>27</v>
      </c>
      <c r="Q201" s="140">
        <v>6300</v>
      </c>
      <c r="R201" s="64">
        <v>42</v>
      </c>
    </row>
    <row r="202" spans="14:18">
      <c r="N202" s="136" t="s">
        <v>25</v>
      </c>
      <c r="O202" s="62" t="s">
        <v>8</v>
      </c>
      <c r="P202" s="136" t="s">
        <v>9</v>
      </c>
      <c r="Q202" s="140">
        <v>560</v>
      </c>
      <c r="R202" s="64">
        <v>81</v>
      </c>
    </row>
    <row r="203" spans="14:18">
      <c r="N203" s="136" t="s">
        <v>17</v>
      </c>
      <c r="O203" s="62" t="s">
        <v>8</v>
      </c>
      <c r="P203" s="136" t="s">
        <v>50</v>
      </c>
      <c r="Q203" s="140">
        <v>2856</v>
      </c>
      <c r="R203" s="64">
        <v>246</v>
      </c>
    </row>
    <row r="204" spans="14:18">
      <c r="N204" s="136" t="s">
        <v>17</v>
      </c>
      <c r="O204" s="62" t="s">
        <v>49</v>
      </c>
      <c r="P204" s="136" t="s">
        <v>32</v>
      </c>
      <c r="Q204" s="140">
        <v>707</v>
      </c>
      <c r="R204" s="64">
        <v>174</v>
      </c>
    </row>
    <row r="205" spans="14:18">
      <c r="N205" s="136" t="s">
        <v>12</v>
      </c>
      <c r="O205" s="62" t="s">
        <v>13</v>
      </c>
      <c r="P205" s="136" t="s">
        <v>9</v>
      </c>
      <c r="Q205" s="140">
        <v>3598</v>
      </c>
      <c r="R205" s="64">
        <v>81</v>
      </c>
    </row>
    <row r="206" spans="14:18">
      <c r="N206" s="136" t="s">
        <v>7</v>
      </c>
      <c r="O206" s="62" t="s">
        <v>13</v>
      </c>
      <c r="P206" s="136" t="s">
        <v>36</v>
      </c>
      <c r="Q206" s="140">
        <v>6853</v>
      </c>
      <c r="R206" s="64">
        <v>372</v>
      </c>
    </row>
    <row r="207" spans="14:18">
      <c r="N207" s="136" t="s">
        <v>7</v>
      </c>
      <c r="O207" s="62" t="s">
        <v>13</v>
      </c>
      <c r="P207" s="136" t="s">
        <v>29</v>
      </c>
      <c r="Q207" s="140">
        <v>4725</v>
      </c>
      <c r="R207" s="64">
        <v>174</v>
      </c>
    </row>
    <row r="208" spans="14:18">
      <c r="N208" s="136" t="s">
        <v>20</v>
      </c>
      <c r="O208" s="62" t="s">
        <v>21</v>
      </c>
      <c r="P208" s="136" t="s">
        <v>14</v>
      </c>
      <c r="Q208" s="140">
        <v>10304</v>
      </c>
      <c r="R208" s="64">
        <v>84</v>
      </c>
    </row>
    <row r="209" spans="14:18">
      <c r="N209" s="136" t="s">
        <v>20</v>
      </c>
      <c r="O209" s="62" t="s">
        <v>49</v>
      </c>
      <c r="P209" s="136" t="s">
        <v>29</v>
      </c>
      <c r="Q209" s="140">
        <v>1274</v>
      </c>
      <c r="R209" s="64">
        <v>225</v>
      </c>
    </row>
    <row r="210" spans="14:18">
      <c r="N210" s="136" t="s">
        <v>42</v>
      </c>
      <c r="O210" s="62" t="s">
        <v>21</v>
      </c>
      <c r="P210" s="136" t="s">
        <v>9</v>
      </c>
      <c r="Q210" s="140">
        <v>1526</v>
      </c>
      <c r="R210" s="64">
        <v>105</v>
      </c>
    </row>
    <row r="211" spans="14:18">
      <c r="N211" s="136" t="s">
        <v>7</v>
      </c>
      <c r="O211" s="62" t="s">
        <v>26</v>
      </c>
      <c r="P211" s="136" t="s">
        <v>53</v>
      </c>
      <c r="Q211" s="140">
        <v>3101</v>
      </c>
      <c r="R211" s="64">
        <v>225</v>
      </c>
    </row>
    <row r="212" spans="14:18">
      <c r="N212" s="136" t="s">
        <v>45</v>
      </c>
      <c r="O212" s="62" t="s">
        <v>8</v>
      </c>
      <c r="P212" s="136" t="s">
        <v>16</v>
      </c>
      <c r="Q212" s="140">
        <v>1057</v>
      </c>
      <c r="R212" s="64">
        <v>54</v>
      </c>
    </row>
    <row r="213" spans="14:18">
      <c r="N213" s="136" t="s">
        <v>39</v>
      </c>
      <c r="O213" s="62" t="s">
        <v>8</v>
      </c>
      <c r="P213" s="136" t="s">
        <v>50</v>
      </c>
      <c r="Q213" s="140">
        <v>5306</v>
      </c>
      <c r="R213" s="64">
        <v>0</v>
      </c>
    </row>
    <row r="214" spans="14:18">
      <c r="N214" s="136" t="s">
        <v>42</v>
      </c>
      <c r="O214" s="62" t="s">
        <v>26</v>
      </c>
      <c r="P214" s="136" t="s">
        <v>48</v>
      </c>
      <c r="Q214" s="140">
        <v>4018</v>
      </c>
      <c r="R214" s="64">
        <v>171</v>
      </c>
    </row>
    <row r="215" spans="14:18">
      <c r="N215" s="136" t="s">
        <v>17</v>
      </c>
      <c r="O215" s="62" t="s">
        <v>49</v>
      </c>
      <c r="P215" s="136" t="s">
        <v>29</v>
      </c>
      <c r="Q215" s="140">
        <v>938</v>
      </c>
      <c r="R215" s="64">
        <v>189</v>
      </c>
    </row>
    <row r="216" spans="14:18">
      <c r="N216" s="136" t="s">
        <v>39</v>
      </c>
      <c r="O216" s="62" t="s">
        <v>33</v>
      </c>
      <c r="P216" s="136" t="s">
        <v>22</v>
      </c>
      <c r="Q216" s="140">
        <v>1778</v>
      </c>
      <c r="R216" s="64">
        <v>270</v>
      </c>
    </row>
    <row r="217" spans="14:18">
      <c r="N217" s="136" t="s">
        <v>25</v>
      </c>
      <c r="O217" s="62" t="s">
        <v>26</v>
      </c>
      <c r="P217" s="136" t="s">
        <v>9</v>
      </c>
      <c r="Q217" s="140">
        <v>1638</v>
      </c>
      <c r="R217" s="64">
        <v>63</v>
      </c>
    </row>
    <row r="218" spans="14:18">
      <c r="N218" s="136" t="s">
        <v>20</v>
      </c>
      <c r="O218" s="62" t="s">
        <v>33</v>
      </c>
      <c r="P218" s="136" t="s">
        <v>27</v>
      </c>
      <c r="Q218" s="140">
        <v>154</v>
      </c>
      <c r="R218" s="64">
        <v>21</v>
      </c>
    </row>
    <row r="219" spans="14:18">
      <c r="N219" s="136" t="s">
        <v>39</v>
      </c>
      <c r="O219" s="62" t="s">
        <v>8</v>
      </c>
      <c r="P219" s="136" t="s">
        <v>36</v>
      </c>
      <c r="Q219" s="140">
        <v>9835</v>
      </c>
      <c r="R219" s="64">
        <v>207</v>
      </c>
    </row>
    <row r="220" spans="14:18">
      <c r="N220" s="136" t="s">
        <v>17</v>
      </c>
      <c r="O220" s="62" t="s">
        <v>8</v>
      </c>
      <c r="P220" s="136" t="s">
        <v>41</v>
      </c>
      <c r="Q220" s="140">
        <v>7273</v>
      </c>
      <c r="R220" s="64">
        <v>96</v>
      </c>
    </row>
    <row r="221" spans="14:18">
      <c r="N221" s="136" t="s">
        <v>42</v>
      </c>
      <c r="O221" s="62" t="s">
        <v>26</v>
      </c>
      <c r="P221" s="136" t="s">
        <v>36</v>
      </c>
      <c r="Q221" s="140">
        <v>6909</v>
      </c>
      <c r="R221" s="64">
        <v>81</v>
      </c>
    </row>
    <row r="222" spans="14:18">
      <c r="N222" s="136" t="s">
        <v>17</v>
      </c>
      <c r="O222" s="62" t="s">
        <v>26</v>
      </c>
      <c r="P222" s="136" t="s">
        <v>48</v>
      </c>
      <c r="Q222" s="140">
        <v>3920</v>
      </c>
      <c r="R222" s="64">
        <v>306</v>
      </c>
    </row>
    <row r="223" spans="14:18">
      <c r="N223" s="136" t="s">
        <v>54</v>
      </c>
      <c r="O223" s="62" t="s">
        <v>26</v>
      </c>
      <c r="P223" s="136" t="s">
        <v>44</v>
      </c>
      <c r="Q223" s="140">
        <v>4858</v>
      </c>
      <c r="R223" s="64">
        <v>279</v>
      </c>
    </row>
    <row r="224" spans="14:18">
      <c r="N224" s="136" t="s">
        <v>45</v>
      </c>
      <c r="O224" s="62" t="s">
        <v>33</v>
      </c>
      <c r="P224" s="136" t="s">
        <v>18</v>
      </c>
      <c r="Q224" s="140">
        <v>3549</v>
      </c>
      <c r="R224" s="64">
        <v>3</v>
      </c>
    </row>
    <row r="225" spans="14:18">
      <c r="N225" s="136" t="s">
        <v>39</v>
      </c>
      <c r="O225" s="62" t="s">
        <v>26</v>
      </c>
      <c r="P225" s="136" t="s">
        <v>52</v>
      </c>
      <c r="Q225" s="140">
        <v>966</v>
      </c>
      <c r="R225" s="64">
        <v>198</v>
      </c>
    </row>
    <row r="226" spans="14:18">
      <c r="N226" s="136" t="s">
        <v>42</v>
      </c>
      <c r="O226" s="62" t="s">
        <v>26</v>
      </c>
      <c r="P226" s="136" t="s">
        <v>22</v>
      </c>
      <c r="Q226" s="140">
        <v>385</v>
      </c>
      <c r="R226" s="64">
        <v>249</v>
      </c>
    </row>
    <row r="227" spans="14:18">
      <c r="N227" s="136" t="s">
        <v>25</v>
      </c>
      <c r="O227" s="62" t="s">
        <v>49</v>
      </c>
      <c r="P227" s="136" t="s">
        <v>29</v>
      </c>
      <c r="Q227" s="140">
        <v>2219</v>
      </c>
      <c r="R227" s="64">
        <v>75</v>
      </c>
    </row>
    <row r="228" spans="14:18">
      <c r="N228" s="136" t="s">
        <v>17</v>
      </c>
      <c r="O228" s="62" t="s">
        <v>21</v>
      </c>
      <c r="P228" s="136" t="s">
        <v>14</v>
      </c>
      <c r="Q228" s="140">
        <v>2954</v>
      </c>
      <c r="R228" s="64">
        <v>189</v>
      </c>
    </row>
    <row r="229" spans="14:18">
      <c r="N229" s="136" t="s">
        <v>39</v>
      </c>
      <c r="O229" s="62" t="s">
        <v>21</v>
      </c>
      <c r="P229" s="136" t="s">
        <v>14</v>
      </c>
      <c r="Q229" s="140">
        <v>280</v>
      </c>
      <c r="R229" s="64">
        <v>87</v>
      </c>
    </row>
    <row r="230" spans="14:18">
      <c r="N230" s="136" t="s">
        <v>20</v>
      </c>
      <c r="O230" s="62" t="s">
        <v>21</v>
      </c>
      <c r="P230" s="136" t="s">
        <v>9</v>
      </c>
      <c r="Q230" s="140">
        <v>6118</v>
      </c>
      <c r="R230" s="64">
        <v>174</v>
      </c>
    </row>
    <row r="231" spans="14:18">
      <c r="N231" s="136" t="s">
        <v>45</v>
      </c>
      <c r="O231" s="62" t="s">
        <v>26</v>
      </c>
      <c r="P231" s="136" t="s">
        <v>24</v>
      </c>
      <c r="Q231" s="140">
        <v>4802</v>
      </c>
      <c r="R231" s="64">
        <v>36</v>
      </c>
    </row>
    <row r="232" spans="14:18">
      <c r="N232" s="136" t="s">
        <v>17</v>
      </c>
      <c r="O232" s="62" t="s">
        <v>33</v>
      </c>
      <c r="P232" s="136" t="s">
        <v>48</v>
      </c>
      <c r="Q232" s="140">
        <v>4137</v>
      </c>
      <c r="R232" s="64">
        <v>60</v>
      </c>
    </row>
    <row r="233" spans="14:18">
      <c r="N233" s="136" t="s">
        <v>46</v>
      </c>
      <c r="O233" s="62" t="s">
        <v>13</v>
      </c>
      <c r="P233" s="136" t="s">
        <v>47</v>
      </c>
      <c r="Q233" s="140">
        <v>2023</v>
      </c>
      <c r="R233" s="64">
        <v>78</v>
      </c>
    </row>
    <row r="234" spans="14:18">
      <c r="N234" s="136" t="s">
        <v>17</v>
      </c>
      <c r="O234" s="62" t="s">
        <v>21</v>
      </c>
      <c r="P234" s="136" t="s">
        <v>9</v>
      </c>
      <c r="Q234" s="140">
        <v>9051</v>
      </c>
      <c r="R234" s="64">
        <v>57</v>
      </c>
    </row>
    <row r="235" spans="14:18">
      <c r="N235" s="136" t="s">
        <v>17</v>
      </c>
      <c r="O235" s="62" t="s">
        <v>8</v>
      </c>
      <c r="P235" s="136" t="s">
        <v>53</v>
      </c>
      <c r="Q235" s="140">
        <v>2919</v>
      </c>
      <c r="R235" s="64">
        <v>45</v>
      </c>
    </row>
    <row r="236" spans="14:18">
      <c r="N236" s="136" t="s">
        <v>20</v>
      </c>
      <c r="O236" s="62" t="s">
        <v>33</v>
      </c>
      <c r="P236" s="136" t="s">
        <v>36</v>
      </c>
      <c r="Q236" s="140">
        <v>5915</v>
      </c>
      <c r="R236" s="64">
        <v>3</v>
      </c>
    </row>
    <row r="237" spans="14:18">
      <c r="N237" s="136" t="s">
        <v>54</v>
      </c>
      <c r="O237" s="62" t="s">
        <v>13</v>
      </c>
      <c r="P237" s="136" t="s">
        <v>24</v>
      </c>
      <c r="Q237" s="140">
        <v>2562</v>
      </c>
      <c r="R237" s="64">
        <v>6</v>
      </c>
    </row>
    <row r="238" spans="14:18">
      <c r="N238" s="136" t="s">
        <v>42</v>
      </c>
      <c r="O238" s="62" t="s">
        <v>8</v>
      </c>
      <c r="P238" s="136" t="s">
        <v>27</v>
      </c>
      <c r="Q238" s="140">
        <v>8813</v>
      </c>
      <c r="R238" s="64">
        <v>21</v>
      </c>
    </row>
    <row r="239" spans="14:18">
      <c r="N239" s="136" t="s">
        <v>42</v>
      </c>
      <c r="O239" s="62" t="s">
        <v>21</v>
      </c>
      <c r="P239" s="136" t="s">
        <v>22</v>
      </c>
      <c r="Q239" s="140">
        <v>6111</v>
      </c>
      <c r="R239" s="64">
        <v>3</v>
      </c>
    </row>
    <row r="240" spans="14:18">
      <c r="N240" s="136" t="s">
        <v>12</v>
      </c>
      <c r="O240" s="62" t="s">
        <v>49</v>
      </c>
      <c r="P240" s="136" t="s">
        <v>34</v>
      </c>
      <c r="Q240" s="140">
        <v>3507</v>
      </c>
      <c r="R240" s="64">
        <v>288</v>
      </c>
    </row>
    <row r="241" spans="14:18">
      <c r="N241" s="136" t="s">
        <v>25</v>
      </c>
      <c r="O241" s="62" t="s">
        <v>21</v>
      </c>
      <c r="P241" s="136" t="s">
        <v>11</v>
      </c>
      <c r="Q241" s="140">
        <v>4319</v>
      </c>
      <c r="R241" s="64">
        <v>30</v>
      </c>
    </row>
    <row r="242" spans="14:18">
      <c r="N242" s="136" t="s">
        <v>7</v>
      </c>
      <c r="O242" s="62" t="s">
        <v>33</v>
      </c>
      <c r="P242" s="136" t="s">
        <v>50</v>
      </c>
      <c r="Q242" s="140">
        <v>609</v>
      </c>
      <c r="R242" s="64">
        <v>87</v>
      </c>
    </row>
    <row r="243" spans="14:18">
      <c r="N243" s="136" t="s">
        <v>7</v>
      </c>
      <c r="O243" s="62" t="s">
        <v>26</v>
      </c>
      <c r="P243" s="136" t="s">
        <v>52</v>
      </c>
      <c r="Q243" s="140">
        <v>6370</v>
      </c>
      <c r="R243" s="64">
        <v>30</v>
      </c>
    </row>
    <row r="244" spans="14:18">
      <c r="N244" s="136" t="s">
        <v>42</v>
      </c>
      <c r="O244" s="62" t="s">
        <v>33</v>
      </c>
      <c r="P244" s="136" t="s">
        <v>38</v>
      </c>
      <c r="Q244" s="140">
        <v>5474</v>
      </c>
      <c r="R244" s="64">
        <v>168</v>
      </c>
    </row>
    <row r="245" spans="14:18">
      <c r="N245" s="136" t="s">
        <v>7</v>
      </c>
      <c r="O245" s="62" t="s">
        <v>21</v>
      </c>
      <c r="P245" s="136" t="s">
        <v>52</v>
      </c>
      <c r="Q245" s="140">
        <v>3164</v>
      </c>
      <c r="R245" s="64">
        <v>306</v>
      </c>
    </row>
    <row r="246" spans="14:18">
      <c r="N246" s="136" t="s">
        <v>25</v>
      </c>
      <c r="O246" s="62" t="s">
        <v>13</v>
      </c>
      <c r="P246" s="136" t="s">
        <v>18</v>
      </c>
      <c r="Q246" s="140">
        <v>1302</v>
      </c>
      <c r="R246" s="64">
        <v>402</v>
      </c>
    </row>
    <row r="247" spans="14:18">
      <c r="N247" s="136" t="s">
        <v>46</v>
      </c>
      <c r="O247" s="62" t="s">
        <v>8</v>
      </c>
      <c r="P247" s="136" t="s">
        <v>53</v>
      </c>
      <c r="Q247" s="140">
        <v>7308</v>
      </c>
      <c r="R247" s="64">
        <v>327</v>
      </c>
    </row>
    <row r="248" spans="14:18">
      <c r="N248" s="136" t="s">
        <v>7</v>
      </c>
      <c r="O248" s="62" t="s">
        <v>8</v>
      </c>
      <c r="P248" s="136" t="s">
        <v>52</v>
      </c>
      <c r="Q248" s="140">
        <v>6132</v>
      </c>
      <c r="R248" s="64">
        <v>93</v>
      </c>
    </row>
    <row r="249" spans="14:18">
      <c r="N249" s="136" t="s">
        <v>54</v>
      </c>
      <c r="O249" s="62" t="s">
        <v>13</v>
      </c>
      <c r="P249" s="136" t="s">
        <v>16</v>
      </c>
      <c r="Q249" s="140">
        <v>3472</v>
      </c>
      <c r="R249" s="64">
        <v>96</v>
      </c>
    </row>
    <row r="250" spans="14:18">
      <c r="N250" s="136" t="s">
        <v>12</v>
      </c>
      <c r="O250" s="62" t="s">
        <v>26</v>
      </c>
      <c r="P250" s="136" t="s">
        <v>22</v>
      </c>
      <c r="Q250" s="140">
        <v>9660</v>
      </c>
      <c r="R250" s="64">
        <v>27</v>
      </c>
    </row>
    <row r="251" spans="14:18">
      <c r="N251" s="136" t="s">
        <v>17</v>
      </c>
      <c r="O251" s="62" t="s">
        <v>33</v>
      </c>
      <c r="P251" s="136" t="s">
        <v>50</v>
      </c>
      <c r="Q251" s="140">
        <v>2436</v>
      </c>
      <c r="R251" s="64">
        <v>99</v>
      </c>
    </row>
    <row r="252" spans="14:18">
      <c r="N252" s="136" t="s">
        <v>17</v>
      </c>
      <c r="O252" s="62" t="s">
        <v>33</v>
      </c>
      <c r="P252" s="136" t="s">
        <v>30</v>
      </c>
      <c r="Q252" s="140">
        <v>9506</v>
      </c>
      <c r="R252" s="64">
        <v>87</v>
      </c>
    </row>
    <row r="253" spans="14:18">
      <c r="N253" s="136" t="s">
        <v>54</v>
      </c>
      <c r="O253" s="62" t="s">
        <v>8</v>
      </c>
      <c r="P253" s="136" t="s">
        <v>44</v>
      </c>
      <c r="Q253" s="140">
        <v>245</v>
      </c>
      <c r="R253" s="64">
        <v>288</v>
      </c>
    </row>
    <row r="254" spans="14:18">
      <c r="N254" s="136" t="s">
        <v>12</v>
      </c>
      <c r="O254" s="62" t="s">
        <v>13</v>
      </c>
      <c r="P254" s="136" t="s">
        <v>41</v>
      </c>
      <c r="Q254" s="140">
        <v>2702</v>
      </c>
      <c r="R254" s="64">
        <v>363</v>
      </c>
    </row>
    <row r="255" spans="14:18">
      <c r="N255" s="136" t="s">
        <v>54</v>
      </c>
      <c r="O255" s="62" t="s">
        <v>49</v>
      </c>
      <c r="P255" s="136" t="s">
        <v>32</v>
      </c>
      <c r="Q255" s="140">
        <v>700</v>
      </c>
      <c r="R255" s="64">
        <v>87</v>
      </c>
    </row>
    <row r="256" spans="14:18">
      <c r="N256" s="136" t="s">
        <v>25</v>
      </c>
      <c r="O256" s="62" t="s">
        <v>49</v>
      </c>
      <c r="P256" s="136" t="s">
        <v>32</v>
      </c>
      <c r="Q256" s="140">
        <v>3759</v>
      </c>
      <c r="R256" s="64">
        <v>150</v>
      </c>
    </row>
    <row r="257" spans="14:18">
      <c r="N257" s="136" t="s">
        <v>45</v>
      </c>
      <c r="O257" s="62" t="s">
        <v>13</v>
      </c>
      <c r="P257" s="136" t="s">
        <v>32</v>
      </c>
      <c r="Q257" s="140">
        <v>1589</v>
      </c>
      <c r="R257" s="64">
        <v>303</v>
      </c>
    </row>
    <row r="258" spans="14:18">
      <c r="N258" s="136" t="s">
        <v>39</v>
      </c>
      <c r="O258" s="62" t="s">
        <v>13</v>
      </c>
      <c r="P258" s="136" t="s">
        <v>53</v>
      </c>
      <c r="Q258" s="140">
        <v>5194</v>
      </c>
      <c r="R258" s="64">
        <v>288</v>
      </c>
    </row>
    <row r="259" spans="14:18">
      <c r="N259" s="136" t="s">
        <v>54</v>
      </c>
      <c r="O259" s="62" t="s">
        <v>21</v>
      </c>
      <c r="P259" s="136" t="s">
        <v>11</v>
      </c>
      <c r="Q259" s="140">
        <v>945</v>
      </c>
      <c r="R259" s="64">
        <v>75</v>
      </c>
    </row>
    <row r="260" spans="14:18">
      <c r="N260" s="136" t="s">
        <v>7</v>
      </c>
      <c r="O260" s="62" t="s">
        <v>33</v>
      </c>
      <c r="P260" s="136" t="s">
        <v>34</v>
      </c>
      <c r="Q260" s="140">
        <v>1988</v>
      </c>
      <c r="R260" s="64">
        <v>39</v>
      </c>
    </row>
    <row r="261" spans="14:18">
      <c r="N261" s="136" t="s">
        <v>25</v>
      </c>
      <c r="O261" s="62" t="s">
        <v>49</v>
      </c>
      <c r="P261" s="136" t="s">
        <v>14</v>
      </c>
      <c r="Q261" s="140">
        <v>6734</v>
      </c>
      <c r="R261" s="64">
        <v>123</v>
      </c>
    </row>
    <row r="262" spans="14:18">
      <c r="N262" s="136" t="s">
        <v>7</v>
      </c>
      <c r="O262" s="62" t="s">
        <v>21</v>
      </c>
      <c r="P262" s="136" t="s">
        <v>18</v>
      </c>
      <c r="Q262" s="140">
        <v>217</v>
      </c>
      <c r="R262" s="64">
        <v>36</v>
      </c>
    </row>
    <row r="263" spans="14:18">
      <c r="N263" s="136" t="s">
        <v>42</v>
      </c>
      <c r="O263" s="62" t="s">
        <v>49</v>
      </c>
      <c r="P263" s="136" t="s">
        <v>36</v>
      </c>
      <c r="Q263" s="140">
        <v>6279</v>
      </c>
      <c r="R263" s="64">
        <v>237</v>
      </c>
    </row>
    <row r="264" spans="14:18">
      <c r="N264" s="136" t="s">
        <v>7</v>
      </c>
      <c r="O264" s="62" t="s">
        <v>21</v>
      </c>
      <c r="P264" s="136" t="s">
        <v>11</v>
      </c>
      <c r="Q264" s="140">
        <v>4424</v>
      </c>
      <c r="R264" s="64">
        <v>201</v>
      </c>
    </row>
    <row r="265" spans="14:18">
      <c r="N265" s="136" t="s">
        <v>45</v>
      </c>
      <c r="O265" s="62" t="s">
        <v>21</v>
      </c>
      <c r="P265" s="136" t="s">
        <v>32</v>
      </c>
      <c r="Q265" s="140">
        <v>189</v>
      </c>
      <c r="R265" s="64">
        <v>48</v>
      </c>
    </row>
    <row r="266" spans="14:18">
      <c r="N266" s="136" t="s">
        <v>42</v>
      </c>
      <c r="O266" s="62" t="s">
        <v>13</v>
      </c>
      <c r="P266" s="136" t="s">
        <v>36</v>
      </c>
      <c r="Q266" s="140">
        <v>490</v>
      </c>
      <c r="R266" s="64">
        <v>84</v>
      </c>
    </row>
    <row r="267" spans="14:18">
      <c r="N267" s="136" t="s">
        <v>12</v>
      </c>
      <c r="O267" s="62" t="s">
        <v>8</v>
      </c>
      <c r="P267" s="136" t="s">
        <v>44</v>
      </c>
      <c r="Q267" s="140">
        <v>434</v>
      </c>
      <c r="R267" s="64">
        <v>87</v>
      </c>
    </row>
    <row r="268" spans="14:18">
      <c r="N268" s="136" t="s">
        <v>39</v>
      </c>
      <c r="O268" s="62" t="s">
        <v>33</v>
      </c>
      <c r="P268" s="136" t="s">
        <v>9</v>
      </c>
      <c r="Q268" s="140">
        <v>10129</v>
      </c>
      <c r="R268" s="64">
        <v>312</v>
      </c>
    </row>
    <row r="269" spans="14:18">
      <c r="N269" s="136" t="s">
        <v>46</v>
      </c>
      <c r="O269" s="62" t="s">
        <v>26</v>
      </c>
      <c r="P269" s="136" t="s">
        <v>53</v>
      </c>
      <c r="Q269" s="140">
        <v>1652</v>
      </c>
      <c r="R269" s="64">
        <v>102</v>
      </c>
    </row>
    <row r="270" spans="14:18">
      <c r="N270" s="136" t="s">
        <v>12</v>
      </c>
      <c r="O270" s="62" t="s">
        <v>33</v>
      </c>
      <c r="P270" s="136" t="s">
        <v>44</v>
      </c>
      <c r="Q270" s="140">
        <v>6433</v>
      </c>
      <c r="R270" s="64">
        <v>78</v>
      </c>
    </row>
    <row r="271" spans="14:18">
      <c r="N271" s="136" t="s">
        <v>46</v>
      </c>
      <c r="O271" s="62" t="s">
        <v>49</v>
      </c>
      <c r="P271" s="136" t="s">
        <v>47</v>
      </c>
      <c r="Q271" s="140">
        <v>2212</v>
      </c>
      <c r="R271" s="64">
        <v>117</v>
      </c>
    </row>
    <row r="272" spans="14:18">
      <c r="N272" s="136" t="s">
        <v>20</v>
      </c>
      <c r="O272" s="62" t="s">
        <v>13</v>
      </c>
      <c r="P272" s="136" t="s">
        <v>38</v>
      </c>
      <c r="Q272" s="140">
        <v>609</v>
      </c>
      <c r="R272" s="64">
        <v>99</v>
      </c>
    </row>
    <row r="273" spans="14:18">
      <c r="N273" s="136" t="s">
        <v>7</v>
      </c>
      <c r="O273" s="62" t="s">
        <v>13</v>
      </c>
      <c r="P273" s="136" t="s">
        <v>48</v>
      </c>
      <c r="Q273" s="140">
        <v>1638</v>
      </c>
      <c r="R273" s="64">
        <v>48</v>
      </c>
    </row>
    <row r="274" spans="14:18">
      <c r="N274" s="136" t="s">
        <v>39</v>
      </c>
      <c r="O274" s="62" t="s">
        <v>49</v>
      </c>
      <c r="P274" s="136" t="s">
        <v>24</v>
      </c>
      <c r="Q274" s="140">
        <v>3829</v>
      </c>
      <c r="R274" s="64">
        <v>24</v>
      </c>
    </row>
    <row r="275" spans="14:18">
      <c r="N275" s="136" t="s">
        <v>7</v>
      </c>
      <c r="O275" s="62" t="s">
        <v>26</v>
      </c>
      <c r="P275" s="136" t="s">
        <v>24</v>
      </c>
      <c r="Q275" s="140">
        <v>5775</v>
      </c>
      <c r="R275" s="64">
        <v>42</v>
      </c>
    </row>
    <row r="276" spans="14:18">
      <c r="N276" s="136" t="s">
        <v>25</v>
      </c>
      <c r="O276" s="62" t="s">
        <v>13</v>
      </c>
      <c r="P276" s="136" t="s">
        <v>41</v>
      </c>
      <c r="Q276" s="140">
        <v>1071</v>
      </c>
      <c r="R276" s="64">
        <v>270</v>
      </c>
    </row>
    <row r="277" spans="14:18">
      <c r="N277" s="136" t="s">
        <v>12</v>
      </c>
      <c r="O277" s="62" t="s">
        <v>21</v>
      </c>
      <c r="P277" s="136" t="s">
        <v>47</v>
      </c>
      <c r="Q277" s="140">
        <v>5019</v>
      </c>
      <c r="R277" s="64">
        <v>150</v>
      </c>
    </row>
    <row r="278" spans="14:18">
      <c r="N278" s="136" t="s">
        <v>45</v>
      </c>
      <c r="O278" s="62" t="s">
        <v>8</v>
      </c>
      <c r="P278" s="136" t="s">
        <v>24</v>
      </c>
      <c r="Q278" s="140">
        <v>2863</v>
      </c>
      <c r="R278" s="64">
        <v>42</v>
      </c>
    </row>
    <row r="279" spans="14:18">
      <c r="N279" s="136" t="s">
        <v>7</v>
      </c>
      <c r="O279" s="62" t="s">
        <v>13</v>
      </c>
      <c r="P279" s="136" t="s">
        <v>51</v>
      </c>
      <c r="Q279" s="140">
        <v>1617</v>
      </c>
      <c r="R279" s="64">
        <v>126</v>
      </c>
    </row>
    <row r="280" spans="14:18">
      <c r="N280" s="136" t="s">
        <v>25</v>
      </c>
      <c r="O280" s="62" t="s">
        <v>8</v>
      </c>
      <c r="P280" s="136" t="s">
        <v>50</v>
      </c>
      <c r="Q280" s="140">
        <v>6818</v>
      </c>
      <c r="R280" s="64">
        <v>6</v>
      </c>
    </row>
    <row r="281" spans="14:18">
      <c r="N281" s="136" t="s">
        <v>46</v>
      </c>
      <c r="O281" s="62" t="s">
        <v>13</v>
      </c>
      <c r="P281" s="136" t="s">
        <v>24</v>
      </c>
      <c r="Q281" s="140">
        <v>6657</v>
      </c>
      <c r="R281" s="64">
        <v>276</v>
      </c>
    </row>
    <row r="282" spans="14:18">
      <c r="N282" s="136" t="s">
        <v>46</v>
      </c>
      <c r="O282" s="62" t="s">
        <v>49</v>
      </c>
      <c r="P282" s="136" t="s">
        <v>32</v>
      </c>
      <c r="Q282" s="140">
        <v>2919</v>
      </c>
      <c r="R282" s="64">
        <v>93</v>
      </c>
    </row>
    <row r="283" spans="14:18">
      <c r="N283" s="136" t="s">
        <v>45</v>
      </c>
      <c r="O283" s="62" t="s">
        <v>21</v>
      </c>
      <c r="P283" s="136" t="s">
        <v>34</v>
      </c>
      <c r="Q283" s="140">
        <v>3094</v>
      </c>
      <c r="R283" s="64">
        <v>246</v>
      </c>
    </row>
    <row r="284" spans="14:18">
      <c r="N284" s="136" t="s">
        <v>25</v>
      </c>
      <c r="O284" s="62" t="s">
        <v>26</v>
      </c>
      <c r="P284" s="136" t="s">
        <v>48</v>
      </c>
      <c r="Q284" s="140">
        <v>2989</v>
      </c>
      <c r="R284" s="64">
        <v>3</v>
      </c>
    </row>
    <row r="285" spans="14:18">
      <c r="N285" s="136" t="s">
        <v>12</v>
      </c>
      <c r="O285" s="62" t="s">
        <v>33</v>
      </c>
      <c r="P285" s="136" t="s">
        <v>52</v>
      </c>
      <c r="Q285" s="140">
        <v>2268</v>
      </c>
      <c r="R285" s="64">
        <v>63</v>
      </c>
    </row>
    <row r="286" spans="14:18">
      <c r="N286" s="136" t="s">
        <v>42</v>
      </c>
      <c r="O286" s="62" t="s">
        <v>13</v>
      </c>
      <c r="P286" s="136" t="s">
        <v>34</v>
      </c>
      <c r="Q286" s="140">
        <v>4753</v>
      </c>
      <c r="R286" s="64">
        <v>246</v>
      </c>
    </row>
    <row r="287" spans="14:18">
      <c r="N287" s="136" t="s">
        <v>45</v>
      </c>
      <c r="O287" s="62" t="s">
        <v>49</v>
      </c>
      <c r="P287" s="136" t="s">
        <v>38</v>
      </c>
      <c r="Q287" s="140">
        <v>7511</v>
      </c>
      <c r="R287" s="64">
        <v>120</v>
      </c>
    </row>
    <row r="288" spans="14:18">
      <c r="N288" s="136" t="s">
        <v>45</v>
      </c>
      <c r="O288" s="62" t="s">
        <v>33</v>
      </c>
      <c r="P288" s="136" t="s">
        <v>34</v>
      </c>
      <c r="Q288" s="140">
        <v>4326</v>
      </c>
      <c r="R288" s="64">
        <v>348</v>
      </c>
    </row>
    <row r="289" spans="14:18">
      <c r="N289" s="136" t="s">
        <v>20</v>
      </c>
      <c r="O289" s="62" t="s">
        <v>49</v>
      </c>
      <c r="P289" s="136" t="s">
        <v>47</v>
      </c>
      <c r="Q289" s="140">
        <v>4935</v>
      </c>
      <c r="R289" s="64">
        <v>126</v>
      </c>
    </row>
    <row r="290" spans="14:18">
      <c r="N290" s="136" t="s">
        <v>25</v>
      </c>
      <c r="O290" s="62" t="s">
        <v>13</v>
      </c>
      <c r="P290" s="136" t="s">
        <v>9</v>
      </c>
      <c r="Q290" s="140">
        <v>4781</v>
      </c>
      <c r="R290" s="64">
        <v>123</v>
      </c>
    </row>
    <row r="291" spans="14:18">
      <c r="N291" s="136" t="s">
        <v>42</v>
      </c>
      <c r="O291" s="62" t="s">
        <v>33</v>
      </c>
      <c r="P291" s="136" t="s">
        <v>27</v>
      </c>
      <c r="Q291" s="140">
        <v>7483</v>
      </c>
      <c r="R291" s="64">
        <v>45</v>
      </c>
    </row>
    <row r="292" spans="14:18">
      <c r="N292" s="136" t="s">
        <v>54</v>
      </c>
      <c r="O292" s="62" t="s">
        <v>33</v>
      </c>
      <c r="P292" s="136" t="s">
        <v>18</v>
      </c>
      <c r="Q292" s="140">
        <v>6860</v>
      </c>
      <c r="R292" s="64">
        <v>126</v>
      </c>
    </row>
    <row r="293" spans="14:18">
      <c r="N293" s="136" t="s">
        <v>7</v>
      </c>
      <c r="O293" s="62" t="s">
        <v>8</v>
      </c>
      <c r="P293" s="136" t="s">
        <v>51</v>
      </c>
      <c r="Q293" s="140">
        <v>9002</v>
      </c>
      <c r="R293" s="64">
        <v>72</v>
      </c>
    </row>
    <row r="294" spans="14:18">
      <c r="N294" s="136" t="s">
        <v>25</v>
      </c>
      <c r="O294" s="62" t="s">
        <v>21</v>
      </c>
      <c r="P294" s="136" t="s">
        <v>51</v>
      </c>
      <c r="Q294" s="140">
        <v>1400</v>
      </c>
      <c r="R294" s="64">
        <v>135</v>
      </c>
    </row>
    <row r="295" spans="14:18">
      <c r="N295" s="136" t="s">
        <v>54</v>
      </c>
      <c r="O295" s="62" t="s">
        <v>49</v>
      </c>
      <c r="P295" s="136" t="s">
        <v>36</v>
      </c>
      <c r="Q295" s="140">
        <v>4053</v>
      </c>
      <c r="R295" s="64">
        <v>24</v>
      </c>
    </row>
    <row r="296" spans="14:18">
      <c r="N296" s="136" t="s">
        <v>39</v>
      </c>
      <c r="O296" s="62" t="s">
        <v>21</v>
      </c>
      <c r="P296" s="136" t="s">
        <v>34</v>
      </c>
      <c r="Q296" s="140">
        <v>2149</v>
      </c>
      <c r="R296" s="64">
        <v>117</v>
      </c>
    </row>
    <row r="297" spans="14:18">
      <c r="N297" s="136" t="s">
        <v>46</v>
      </c>
      <c r="O297" s="62" t="s">
        <v>26</v>
      </c>
      <c r="P297" s="136" t="s">
        <v>51</v>
      </c>
      <c r="Q297" s="140">
        <v>3640</v>
      </c>
      <c r="R297" s="64">
        <v>51</v>
      </c>
    </row>
    <row r="298" spans="14:18">
      <c r="N298" s="136" t="s">
        <v>45</v>
      </c>
      <c r="O298" s="62" t="s">
        <v>26</v>
      </c>
      <c r="P298" s="136" t="s">
        <v>47</v>
      </c>
      <c r="Q298" s="140">
        <v>630</v>
      </c>
      <c r="R298" s="64">
        <v>36</v>
      </c>
    </row>
    <row r="299" spans="14:18">
      <c r="N299" s="136" t="s">
        <v>17</v>
      </c>
      <c r="O299" s="62" t="s">
        <v>13</v>
      </c>
      <c r="P299" s="136" t="s">
        <v>52</v>
      </c>
      <c r="Q299" s="140">
        <v>2429</v>
      </c>
      <c r="R299" s="64">
        <v>144</v>
      </c>
    </row>
    <row r="300" spans="14:18">
      <c r="N300" s="136" t="s">
        <v>17</v>
      </c>
      <c r="O300" s="62" t="s">
        <v>21</v>
      </c>
      <c r="P300" s="136" t="s">
        <v>27</v>
      </c>
      <c r="Q300" s="140">
        <v>2142</v>
      </c>
      <c r="R300" s="64">
        <v>114</v>
      </c>
    </row>
    <row r="301" spans="14:18">
      <c r="N301" s="136" t="s">
        <v>39</v>
      </c>
      <c r="O301" s="62" t="s">
        <v>8</v>
      </c>
      <c r="P301" s="136" t="s">
        <v>9</v>
      </c>
      <c r="Q301" s="140">
        <v>6454</v>
      </c>
      <c r="R301" s="64">
        <v>54</v>
      </c>
    </row>
    <row r="302" spans="14:18">
      <c r="N302" s="136" t="s">
        <v>39</v>
      </c>
      <c r="O302" s="62" t="s">
        <v>8</v>
      </c>
      <c r="P302" s="136" t="s">
        <v>29</v>
      </c>
      <c r="Q302" s="140">
        <v>4487</v>
      </c>
      <c r="R302" s="64">
        <v>333</v>
      </c>
    </row>
    <row r="303" spans="14:18">
      <c r="N303" s="136" t="s">
        <v>46</v>
      </c>
      <c r="O303" s="62" t="s">
        <v>8</v>
      </c>
      <c r="P303" s="136" t="s">
        <v>18</v>
      </c>
      <c r="Q303" s="140">
        <v>938</v>
      </c>
      <c r="R303" s="64">
        <v>366</v>
      </c>
    </row>
    <row r="304" spans="14:18">
      <c r="N304" s="136" t="s">
        <v>46</v>
      </c>
      <c r="O304" s="62" t="s">
        <v>33</v>
      </c>
      <c r="P304" s="136" t="s">
        <v>50</v>
      </c>
      <c r="Q304" s="140">
        <v>8841</v>
      </c>
      <c r="R304" s="64">
        <v>303</v>
      </c>
    </row>
    <row r="305" spans="14:18">
      <c r="N305" s="136" t="s">
        <v>45</v>
      </c>
      <c r="O305" s="62" t="s">
        <v>26</v>
      </c>
      <c r="P305" s="136" t="s">
        <v>30</v>
      </c>
      <c r="Q305" s="140">
        <v>4018</v>
      </c>
      <c r="R305" s="64">
        <v>126</v>
      </c>
    </row>
    <row r="306" spans="14:18">
      <c r="N306" s="136" t="s">
        <v>20</v>
      </c>
      <c r="O306" s="62" t="s">
        <v>8</v>
      </c>
      <c r="P306" s="136" t="s">
        <v>24</v>
      </c>
      <c r="Q306" s="140">
        <v>714</v>
      </c>
      <c r="R306" s="64">
        <v>231</v>
      </c>
    </row>
    <row r="307" spans="14:18" ht="15" thickBot="1">
      <c r="N307" s="137" t="s">
        <v>17</v>
      </c>
      <c r="O307" s="62" t="s">
        <v>33</v>
      </c>
      <c r="P307" s="137" t="s">
        <v>27</v>
      </c>
      <c r="Q307" s="141">
        <v>3850</v>
      </c>
      <c r="R307" s="64">
        <v>102</v>
      </c>
    </row>
  </sheetData>
  <mergeCells count="2">
    <mergeCell ref="A1:L3"/>
    <mergeCell ref="M1:S3"/>
  </mergeCells>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A6C8C-6BD6-4FF0-861C-A8C93CB7D768}">
  <dimension ref="A1:G5"/>
  <sheetViews>
    <sheetView workbookViewId="0">
      <selection activeCell="A3" sqref="A3:G5"/>
    </sheetView>
  </sheetViews>
  <sheetFormatPr defaultRowHeight="14.4"/>
  <cols>
    <col min="1" max="1" width="13.6640625" bestFit="1" customWidth="1"/>
    <col min="2" max="2" width="12.44140625" bestFit="1" customWidth="1"/>
    <col min="3" max="3" width="10.44140625" bestFit="1" customWidth="1"/>
    <col min="4" max="4" width="10.109375" bestFit="1" customWidth="1"/>
    <col min="5" max="5" width="9" bestFit="1" customWidth="1"/>
    <col min="6" max="6" width="13.88671875" bestFit="1" customWidth="1"/>
    <col min="7" max="7" width="9" bestFit="1" customWidth="1"/>
  </cols>
  <sheetData>
    <row r="1" spans="1:7">
      <c r="A1" s="10" t="s">
        <v>104</v>
      </c>
    </row>
    <row r="3" spans="1:7">
      <c r="A3" t="s">
        <v>0</v>
      </c>
      <c r="B3" t="s">
        <v>1</v>
      </c>
      <c r="C3" t="s">
        <v>2</v>
      </c>
      <c r="D3" t="s">
        <v>3</v>
      </c>
      <c r="E3" t="s">
        <v>4</v>
      </c>
      <c r="F3" t="s">
        <v>6</v>
      </c>
      <c r="G3" t="s">
        <v>77</v>
      </c>
    </row>
    <row r="4" spans="1:7">
      <c r="A4" t="s">
        <v>20</v>
      </c>
      <c r="B4" t="s">
        <v>33</v>
      </c>
      <c r="C4" t="s">
        <v>36</v>
      </c>
      <c r="D4">
        <v>5915</v>
      </c>
      <c r="E4">
        <v>3</v>
      </c>
      <c r="F4">
        <v>9.77</v>
      </c>
      <c r="G4">
        <v>29.31</v>
      </c>
    </row>
    <row r="5" spans="1:7">
      <c r="A5" t="s">
        <v>20</v>
      </c>
      <c r="B5" t="s">
        <v>33</v>
      </c>
      <c r="C5" t="s">
        <v>27</v>
      </c>
      <c r="D5">
        <v>154</v>
      </c>
      <c r="E5">
        <v>21</v>
      </c>
      <c r="F5">
        <v>13.15</v>
      </c>
      <c r="G5">
        <v>276.15000000000003</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422A4B-7884-45F0-9848-D69F4F3C1B2B}">
  <dimension ref="A1:K74"/>
  <sheetViews>
    <sheetView topLeftCell="A2" workbookViewId="0">
      <selection activeCell="I26" sqref="I26"/>
    </sheetView>
  </sheetViews>
  <sheetFormatPr defaultRowHeight="14.4"/>
  <cols>
    <col min="2" max="2" width="15.5546875" bestFit="1" customWidth="1"/>
    <col min="3" max="3" width="14.44140625" bestFit="1" customWidth="1"/>
    <col min="4" max="4" width="12.33203125" bestFit="1" customWidth="1"/>
    <col min="7" max="7" width="15.5546875" bestFit="1" customWidth="1"/>
    <col min="8" max="8" width="14.44140625" bestFit="1" customWidth="1"/>
  </cols>
  <sheetData>
    <row r="1" spans="1:11">
      <c r="A1" s="123" t="s">
        <v>100</v>
      </c>
      <c r="B1" s="123"/>
      <c r="C1" s="123"/>
      <c r="D1" s="123"/>
      <c r="E1" s="123"/>
      <c r="F1" s="123"/>
      <c r="G1" s="123"/>
      <c r="H1" s="123"/>
      <c r="I1" s="123"/>
      <c r="J1" s="123"/>
      <c r="K1" s="123"/>
    </row>
    <row r="2" spans="1:11">
      <c r="A2" s="123"/>
      <c r="B2" s="123"/>
      <c r="C2" s="123"/>
      <c r="D2" s="123"/>
      <c r="E2" s="123"/>
      <c r="F2" s="123"/>
      <c r="G2" s="123"/>
      <c r="H2" s="123"/>
      <c r="I2" s="123"/>
      <c r="J2" s="123"/>
      <c r="K2" s="123"/>
    </row>
    <row r="3" spans="1:11">
      <c r="A3" s="123"/>
      <c r="B3" s="123"/>
      <c r="C3" s="123"/>
      <c r="D3" s="123"/>
      <c r="E3" s="123"/>
      <c r="F3" s="123"/>
      <c r="G3" s="123"/>
      <c r="H3" s="123"/>
      <c r="I3" s="123"/>
      <c r="J3" s="123"/>
      <c r="K3" s="123"/>
    </row>
    <row r="4" spans="1:11" ht="16.2" customHeight="1"/>
    <row r="5" spans="1:11" ht="19.2" customHeight="1">
      <c r="B5" s="99" t="s">
        <v>98</v>
      </c>
      <c r="C5" s="100"/>
      <c r="D5" s="101"/>
      <c r="G5" s="102" t="s">
        <v>99</v>
      </c>
      <c r="H5" s="101"/>
      <c r="I5" s="101"/>
    </row>
    <row r="6" spans="1:11" ht="15" thickBot="1">
      <c r="B6" s="32" t="s">
        <v>68</v>
      </c>
      <c r="C6" s="32" t="s">
        <v>69</v>
      </c>
      <c r="G6" s="32" t="s">
        <v>68</v>
      </c>
      <c r="H6" s="32" t="s">
        <v>69</v>
      </c>
    </row>
    <row r="7" spans="1:11" ht="15" thickBot="1">
      <c r="B7" s="146" t="s">
        <v>33</v>
      </c>
      <c r="C7" s="35"/>
      <c r="G7" s="146" t="s">
        <v>33</v>
      </c>
      <c r="H7" s="147"/>
    </row>
    <row r="8" spans="1:11" ht="15" thickBot="1">
      <c r="B8" s="13" t="s">
        <v>42</v>
      </c>
      <c r="C8" s="144">
        <v>25221</v>
      </c>
      <c r="G8" s="13" t="s">
        <v>20</v>
      </c>
      <c r="H8" s="144">
        <v>6069</v>
      </c>
    </row>
    <row r="9" spans="1:11" ht="15" thickBot="1">
      <c r="B9" s="146" t="s">
        <v>21</v>
      </c>
      <c r="C9" s="34"/>
      <c r="G9" s="146" t="s">
        <v>21</v>
      </c>
      <c r="H9" s="147"/>
    </row>
    <row r="10" spans="1:11" ht="15" thickBot="1">
      <c r="B10" s="13" t="s">
        <v>42</v>
      </c>
      <c r="C10" s="144">
        <v>39620</v>
      </c>
      <c r="G10" s="13" t="s">
        <v>12</v>
      </c>
      <c r="H10" s="144">
        <v>5019</v>
      </c>
    </row>
    <row r="11" spans="1:11" ht="15" thickBot="1">
      <c r="B11" s="146" t="s">
        <v>49</v>
      </c>
      <c r="C11" s="34"/>
      <c r="G11" s="146" t="s">
        <v>49</v>
      </c>
      <c r="H11" s="148"/>
    </row>
    <row r="12" spans="1:11" ht="15" thickBot="1">
      <c r="B12" s="13" t="s">
        <v>42</v>
      </c>
      <c r="C12" s="144">
        <v>41559</v>
      </c>
      <c r="G12" s="13" t="s">
        <v>12</v>
      </c>
      <c r="H12" s="144">
        <v>5516</v>
      </c>
    </row>
    <row r="13" spans="1:11" ht="15" thickBot="1">
      <c r="B13" s="146" t="s">
        <v>8</v>
      </c>
      <c r="C13" s="35"/>
      <c r="G13" s="146" t="s">
        <v>8</v>
      </c>
      <c r="H13" s="147"/>
    </row>
    <row r="14" spans="1:11" ht="15" thickBot="1">
      <c r="B14" s="13" t="s">
        <v>39</v>
      </c>
      <c r="C14" s="144">
        <v>43568</v>
      </c>
      <c r="G14" s="13" t="s">
        <v>54</v>
      </c>
      <c r="H14" s="144">
        <v>7987</v>
      </c>
    </row>
    <row r="15" spans="1:11" ht="15" thickBot="1">
      <c r="B15" s="146" t="s">
        <v>26</v>
      </c>
      <c r="C15" s="34"/>
      <c r="G15" s="146" t="s">
        <v>26</v>
      </c>
      <c r="H15" s="147"/>
    </row>
    <row r="16" spans="1:11" ht="15" thickBot="1">
      <c r="B16" s="13" t="s">
        <v>45</v>
      </c>
      <c r="C16" s="144">
        <v>45752</v>
      </c>
      <c r="G16" s="13" t="s">
        <v>20</v>
      </c>
      <c r="H16" s="144">
        <v>3976</v>
      </c>
    </row>
    <row r="17" spans="2:8" ht="15" thickBot="1">
      <c r="B17" s="146" t="s">
        <v>13</v>
      </c>
      <c r="C17" s="34"/>
      <c r="G17" s="146" t="s">
        <v>13</v>
      </c>
      <c r="H17" s="147"/>
    </row>
    <row r="18" spans="2:8" ht="15" thickBot="1">
      <c r="B18" s="13" t="s">
        <v>7</v>
      </c>
      <c r="C18" s="144">
        <v>38325</v>
      </c>
      <c r="G18" s="13" t="s">
        <v>45</v>
      </c>
      <c r="H18" s="144">
        <v>2142</v>
      </c>
    </row>
    <row r="19" spans="2:8" ht="15" thickBot="1">
      <c r="B19" s="33" t="s">
        <v>74</v>
      </c>
      <c r="C19" s="145">
        <v>234045</v>
      </c>
      <c r="G19" s="33" t="s">
        <v>74</v>
      </c>
      <c r="H19" s="145">
        <v>30709</v>
      </c>
    </row>
    <row r="74" spans="2:3">
      <c r="B74" s="1"/>
      <c r="C74" s="1"/>
    </row>
  </sheetData>
  <mergeCells count="1">
    <mergeCell ref="A1:K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0CC66-DB29-4ACA-9F79-E736A6960668}">
  <dimension ref="A1:K28"/>
  <sheetViews>
    <sheetView workbookViewId="0">
      <selection activeCell="G27" sqref="G27"/>
    </sheetView>
  </sheetViews>
  <sheetFormatPr defaultRowHeight="14.4"/>
  <cols>
    <col min="2" max="2" width="20.21875" bestFit="1" customWidth="1"/>
    <col min="3" max="3" width="10.33203125" bestFit="1" customWidth="1"/>
    <col min="4" max="5" width="9.109375" bestFit="1" customWidth="1"/>
    <col min="6" max="6" width="11.88671875" bestFit="1" customWidth="1"/>
    <col min="7" max="7" width="9.109375" bestFit="1" customWidth="1"/>
    <col min="8" max="8" width="7.5546875" bestFit="1" customWidth="1"/>
    <col min="9" max="9" width="10.77734375" bestFit="1" customWidth="1"/>
  </cols>
  <sheetData>
    <row r="1" spans="1:11">
      <c r="A1" s="120" t="s">
        <v>78</v>
      </c>
      <c r="B1" s="121"/>
      <c r="C1" s="121"/>
      <c r="D1" s="121"/>
      <c r="E1" s="121"/>
      <c r="F1" s="121"/>
      <c r="G1" s="121"/>
      <c r="H1" s="121"/>
      <c r="I1" s="121"/>
      <c r="J1" s="121"/>
      <c r="K1" s="121"/>
    </row>
    <row r="2" spans="1:11">
      <c r="A2" s="121"/>
      <c r="B2" s="121"/>
      <c r="C2" s="121"/>
      <c r="D2" s="121"/>
      <c r="E2" s="121"/>
      <c r="F2" s="121"/>
      <c r="G2" s="121"/>
      <c r="H2" s="121"/>
      <c r="I2" s="121"/>
      <c r="J2" s="121"/>
      <c r="K2" s="121"/>
    </row>
    <row r="3" spans="1:11">
      <c r="A3" s="121"/>
      <c r="B3" s="121"/>
      <c r="C3" s="121"/>
      <c r="D3" s="121"/>
      <c r="E3" s="121"/>
      <c r="F3" s="121"/>
      <c r="G3" s="121"/>
      <c r="H3" s="121"/>
      <c r="I3" s="121"/>
      <c r="J3" s="121"/>
      <c r="K3" s="121"/>
    </row>
    <row r="4" spans="1:11" ht="15" thickBot="1"/>
    <row r="5" spans="1:11" ht="15" thickBot="1">
      <c r="B5" s="16" t="s">
        <v>68</v>
      </c>
      <c r="C5" s="112" t="s">
        <v>79</v>
      </c>
    </row>
    <row r="6" spans="1:11">
      <c r="B6" s="58" t="s">
        <v>9</v>
      </c>
      <c r="C6" s="113">
        <v>25899.020000000011</v>
      </c>
    </row>
    <row r="7" spans="1:11">
      <c r="B7" s="58" t="s">
        <v>36</v>
      </c>
      <c r="C7" s="113">
        <v>46234.960000000006</v>
      </c>
    </row>
    <row r="8" spans="1:11">
      <c r="B8" s="58" t="s">
        <v>50</v>
      </c>
      <c r="C8" s="113">
        <v>58277.8</v>
      </c>
    </row>
    <row r="9" spans="1:11">
      <c r="B9" s="58" t="s">
        <v>53</v>
      </c>
      <c r="C9" s="113">
        <v>39084.340000000004</v>
      </c>
    </row>
    <row r="10" spans="1:11">
      <c r="B10" s="58" t="s">
        <v>32</v>
      </c>
      <c r="C10" s="113">
        <v>56471.590000000004</v>
      </c>
    </row>
    <row r="11" spans="1:11">
      <c r="B11" s="58" t="s">
        <v>47</v>
      </c>
      <c r="C11" s="113">
        <v>44884.12</v>
      </c>
    </row>
    <row r="12" spans="1:11">
      <c r="B12" s="58" t="s">
        <v>51</v>
      </c>
      <c r="C12" s="113">
        <v>36700.840000000004</v>
      </c>
    </row>
    <row r="13" spans="1:11">
      <c r="B13" s="58" t="s">
        <v>29</v>
      </c>
      <c r="C13" s="113">
        <v>43177.340000000004</v>
      </c>
    </row>
    <row r="14" spans="1:11">
      <c r="B14" s="58" t="s">
        <v>52</v>
      </c>
      <c r="C14" s="113">
        <v>19572.14</v>
      </c>
    </row>
    <row r="15" spans="1:11">
      <c r="B15" s="58" t="s">
        <v>30</v>
      </c>
      <c r="C15" s="113">
        <v>46226.020000000004</v>
      </c>
    </row>
    <row r="16" spans="1:11">
      <c r="B16" s="58" t="s">
        <v>34</v>
      </c>
      <c r="C16" s="113">
        <v>29518.43</v>
      </c>
    </row>
    <row r="17" spans="2:3">
      <c r="B17" s="58" t="s">
        <v>44</v>
      </c>
      <c r="C17" s="113">
        <v>26000</v>
      </c>
    </row>
    <row r="18" spans="2:3">
      <c r="B18" s="58" t="s">
        <v>27</v>
      </c>
      <c r="C18" s="113">
        <v>29678.099999999995</v>
      </c>
    </row>
    <row r="19" spans="2:3">
      <c r="B19" s="58" t="s">
        <v>38</v>
      </c>
      <c r="C19" s="113">
        <v>29800.160000000003</v>
      </c>
    </row>
    <row r="20" spans="2:3">
      <c r="B20" s="58" t="s">
        <v>18</v>
      </c>
      <c r="C20" s="113">
        <v>14946.919999999998</v>
      </c>
    </row>
    <row r="21" spans="2:3">
      <c r="B21" s="58" t="s">
        <v>14</v>
      </c>
      <c r="C21" s="113">
        <v>52063.35</v>
      </c>
    </row>
    <row r="22" spans="2:3">
      <c r="B22" s="58" t="s">
        <v>11</v>
      </c>
      <c r="C22" s="113">
        <v>29721.27</v>
      </c>
    </row>
    <row r="23" spans="2:3">
      <c r="B23" s="58" t="s">
        <v>22</v>
      </c>
      <c r="C23" s="113">
        <v>40814.559999999998</v>
      </c>
    </row>
    <row r="24" spans="2:3">
      <c r="B24" s="58" t="s">
        <v>16</v>
      </c>
      <c r="C24" s="113">
        <v>19525.600000000002</v>
      </c>
    </row>
    <row r="25" spans="2:3">
      <c r="B25" s="58" t="s">
        <v>48</v>
      </c>
      <c r="C25" s="113">
        <v>30189.32</v>
      </c>
    </row>
    <row r="26" spans="2:3">
      <c r="B26" s="58" t="s">
        <v>41</v>
      </c>
      <c r="C26" s="113">
        <v>31390.480000000003</v>
      </c>
    </row>
    <row r="27" spans="2:3" ht="15" thickBot="1">
      <c r="B27" s="31" t="s">
        <v>24</v>
      </c>
      <c r="C27" s="113">
        <v>50988.91</v>
      </c>
    </row>
    <row r="28" spans="2:3" ht="15" thickBot="1">
      <c r="B28" s="36" t="s">
        <v>74</v>
      </c>
      <c r="C28" s="145">
        <v>801165.2699999999</v>
      </c>
    </row>
  </sheetData>
  <mergeCells count="1">
    <mergeCell ref="A1:K3"/>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19CA9-5199-4C1A-BF3E-9FC6B307343E}">
  <dimension ref="A1:O19"/>
  <sheetViews>
    <sheetView zoomScale="108" workbookViewId="0">
      <selection activeCell="D19" sqref="D19"/>
    </sheetView>
  </sheetViews>
  <sheetFormatPr defaultRowHeight="14.4"/>
  <cols>
    <col min="4" max="5" width="12.6640625" customWidth="1"/>
    <col min="9" max="9" width="9.88671875" customWidth="1"/>
    <col min="13" max="13" width="12.88671875" customWidth="1"/>
  </cols>
  <sheetData>
    <row r="1" spans="1:15">
      <c r="A1" s="120" t="s">
        <v>80</v>
      </c>
      <c r="B1" s="120"/>
      <c r="C1" s="120"/>
      <c r="D1" s="120"/>
      <c r="E1" s="120"/>
      <c r="F1" s="120"/>
      <c r="G1" s="120"/>
      <c r="H1" s="120"/>
      <c r="I1" s="120"/>
      <c r="J1" s="120"/>
      <c r="K1" s="120"/>
      <c r="L1" s="120"/>
      <c r="M1" s="120"/>
      <c r="N1" s="122"/>
      <c r="O1" s="122"/>
    </row>
    <row r="2" spans="1:15">
      <c r="A2" s="120"/>
      <c r="B2" s="120"/>
      <c r="C2" s="120"/>
      <c r="D2" s="120"/>
      <c r="E2" s="120"/>
      <c r="F2" s="120"/>
      <c r="G2" s="120"/>
      <c r="H2" s="120"/>
      <c r="I2" s="120"/>
      <c r="J2" s="120"/>
      <c r="K2" s="120"/>
      <c r="L2" s="120"/>
      <c r="M2" s="120"/>
      <c r="N2" s="122"/>
      <c r="O2" s="122"/>
    </row>
    <row r="3" spans="1:15">
      <c r="A3" s="120"/>
      <c r="B3" s="120"/>
      <c r="C3" s="120"/>
      <c r="D3" s="120"/>
      <c r="E3" s="120"/>
      <c r="F3" s="120"/>
      <c r="G3" s="120"/>
      <c r="H3" s="120"/>
      <c r="I3" s="120"/>
      <c r="J3" s="120"/>
      <c r="K3" s="120"/>
      <c r="L3" s="120"/>
      <c r="M3" s="120"/>
      <c r="N3" s="122"/>
      <c r="O3" s="122"/>
    </row>
    <row r="5" spans="1:15">
      <c r="B5" s="124" t="s">
        <v>81</v>
      </c>
      <c r="C5" s="125"/>
      <c r="D5" s="38" t="s">
        <v>33</v>
      </c>
      <c r="K5" s="106"/>
    </row>
    <row r="6" spans="1:15" ht="15.6" customHeight="1" thickBot="1"/>
    <row r="7" spans="1:15" ht="19.2" customHeight="1" thickBot="1">
      <c r="B7" s="126" t="s">
        <v>82</v>
      </c>
      <c r="C7" s="126"/>
      <c r="D7" s="126"/>
      <c r="E7" s="39"/>
      <c r="G7" s="127" t="s">
        <v>89</v>
      </c>
      <c r="H7" s="128"/>
      <c r="I7" s="128"/>
      <c r="J7" s="128"/>
      <c r="K7" s="129"/>
      <c r="M7" s="40" t="s">
        <v>63</v>
      </c>
    </row>
    <row r="8" spans="1:15" ht="15.6" customHeight="1" thickBot="1">
      <c r="E8" s="14"/>
      <c r="M8" s="49" t="s">
        <v>49</v>
      </c>
    </row>
    <row r="9" spans="1:15" ht="19.2" customHeight="1" thickBot="1">
      <c r="B9" s="41" t="s">
        <v>83</v>
      </c>
      <c r="C9" s="42"/>
      <c r="D9" s="42"/>
      <c r="E9" s="10">
        <f>COUNTIFS(data[Geography],D5)</f>
        <v>46</v>
      </c>
      <c r="G9" s="161" t="s">
        <v>0</v>
      </c>
      <c r="H9" s="162"/>
      <c r="I9" s="43" t="s">
        <v>3</v>
      </c>
      <c r="J9" s="43" t="s">
        <v>4</v>
      </c>
      <c r="K9" s="107" t="s">
        <v>101</v>
      </c>
      <c r="M9" s="50" t="s">
        <v>21</v>
      </c>
    </row>
    <row r="10" spans="1:15" ht="16.2" customHeight="1" thickBot="1">
      <c r="G10" s="44" t="s">
        <v>45</v>
      </c>
      <c r="H10" s="45"/>
      <c r="I10" s="157">
        <f>SUMIFS(data[Amount],data[Sales Person],$G10,data[Geography],$D$5)</f>
        <v>18928</v>
      </c>
      <c r="J10" s="157">
        <f>SUMIFS(data[Units],data[Sales Person],$G10, data[Geography],$D$5)</f>
        <v>738</v>
      </c>
      <c r="K10" s="103">
        <f>IF(I10&gt;12000,1,-1)</f>
        <v>1</v>
      </c>
      <c r="M10" s="50" t="s">
        <v>13</v>
      </c>
    </row>
    <row r="11" spans="1:15" ht="15" thickBot="1">
      <c r="B11" s="39"/>
      <c r="C11" s="160"/>
      <c r="D11" s="43" t="s">
        <v>84</v>
      </c>
      <c r="E11" s="43" t="s">
        <v>56</v>
      </c>
      <c r="G11" s="46" t="s">
        <v>12</v>
      </c>
      <c r="I11" s="158">
        <f>SUMIFS(data[Amount],data[Sales Person],$G11,data[Geography],$D$5)</f>
        <v>15141</v>
      </c>
      <c r="J11" s="158">
        <f>SUMIFS(data[Units],data[Sales Person],$G11, data[Geography],$D$5)</f>
        <v>1182</v>
      </c>
      <c r="K11" s="104">
        <f t="shared" ref="K11:K19" si="0">IF(I11&gt;12000,1,-1)</f>
        <v>1</v>
      </c>
      <c r="M11" s="50" t="s">
        <v>33</v>
      </c>
    </row>
    <row r="12" spans="1:15">
      <c r="B12" s="44" t="s">
        <v>85</v>
      </c>
      <c r="C12" s="130"/>
      <c r="D12" s="153">
        <f>SUMIFS(data[Amount], data[Geography],D$5)</f>
        <v>168679</v>
      </c>
      <c r="E12" s="149">
        <f>AVERAGEIFS(data[Amount],data[Geography],D5)</f>
        <v>3666.9347826086955</v>
      </c>
      <c r="G12" s="46" t="s">
        <v>20</v>
      </c>
      <c r="I12" s="158">
        <f>SUMIFS(data[Amount],data[Sales Person],$G12,data[Geography],$D$5)</f>
        <v>6069</v>
      </c>
      <c r="J12" s="158">
        <f>SUMIFS(data[Units],data[Sales Person],$G12, data[Geography],$D$5)</f>
        <v>24</v>
      </c>
      <c r="K12" s="104">
        <f t="shared" si="0"/>
        <v>-1</v>
      </c>
      <c r="M12" s="50" t="s">
        <v>26</v>
      </c>
    </row>
    <row r="13" spans="1:15" ht="15" thickBot="1">
      <c r="B13" s="46" t="s">
        <v>86</v>
      </c>
      <c r="C13" s="131"/>
      <c r="D13" s="154">
        <f>SUMIFS(data[cost], data[Geography],D$5)</f>
        <v>60684.719999999987</v>
      </c>
      <c r="E13" s="150">
        <f>AVERAGEIFS(data[cost],data[Geography],D$5)</f>
        <v>1319.2330434782605</v>
      </c>
      <c r="G13" s="46" t="s">
        <v>39</v>
      </c>
      <c r="I13" s="158">
        <f>SUMIFS(data[Amount],data[Sales Person],$G13,data[Geography],$D$5)</f>
        <v>18865</v>
      </c>
      <c r="J13" s="158">
        <f>SUMIFS(data[Units],data[Sales Person],$G13, data[Geography],$D$5)</f>
        <v>915</v>
      </c>
      <c r="K13" s="104">
        <f t="shared" si="0"/>
        <v>1</v>
      </c>
      <c r="M13" s="51" t="s">
        <v>8</v>
      </c>
    </row>
    <row r="14" spans="1:15">
      <c r="B14" s="46" t="s">
        <v>87</v>
      </c>
      <c r="C14" s="131"/>
      <c r="D14" s="155">
        <f>SUMIFS(data[Amount],data[Geography],D$5)-SUMIFS(data[cost],data[Geography],D$5)</f>
        <v>107994.28000000001</v>
      </c>
      <c r="E14" s="151">
        <f>AVERAGEIFS(data[Amount],data[Geography],D$5)-AVERAGEIFS(data[cost],data[Geography],D$5)</f>
        <v>2347.7017391304353</v>
      </c>
      <c r="G14" s="46" t="s">
        <v>25</v>
      </c>
      <c r="I14" s="158">
        <f>SUMIFS(data[Amount],data[Sales Person],$G14,data[Geography],$D$5)</f>
        <v>15820</v>
      </c>
      <c r="J14" s="158">
        <f>SUMIFS(data[Units],data[Sales Person],$G14, data[Geography],$D$5)</f>
        <v>711</v>
      </c>
      <c r="K14" s="104">
        <f t="shared" si="0"/>
        <v>1</v>
      </c>
    </row>
    <row r="15" spans="1:15" ht="15" thickBot="1">
      <c r="B15" s="47" t="s">
        <v>88</v>
      </c>
      <c r="C15" s="132"/>
      <c r="D15" s="156">
        <f>SUMIFS(data[Units], data[Geography],D$5)</f>
        <v>6264</v>
      </c>
      <c r="E15" s="152">
        <f>AVERAGEIFS(data[Units],data[Geography],D$5)</f>
        <v>136.17391304347825</v>
      </c>
      <c r="G15" s="46" t="s">
        <v>42</v>
      </c>
      <c r="I15" s="158">
        <f>SUMIFS(data[Amount],data[Sales Person],$G15,data[Geography],$D$5)</f>
        <v>25221</v>
      </c>
      <c r="J15" s="158">
        <f>SUMIFS(data[Units],data[Sales Person],$G15, data[Geography],$D$5)</f>
        <v>288</v>
      </c>
      <c r="K15" s="104">
        <f t="shared" si="0"/>
        <v>1</v>
      </c>
    </row>
    <row r="16" spans="1:15">
      <c r="G16" s="46" t="s">
        <v>46</v>
      </c>
      <c r="I16" s="158">
        <f>SUMIFS(data[Amount],data[Sales Person],$G16,data[Geography],$D$5)</f>
        <v>8841</v>
      </c>
      <c r="J16" s="158">
        <f>SUMIFS(data[Units],data[Sales Person],$G16, data[Geography],$D$5)</f>
        <v>303</v>
      </c>
      <c r="K16" s="104">
        <f t="shared" si="0"/>
        <v>-1</v>
      </c>
    </row>
    <row r="17" spans="7:11">
      <c r="G17" s="46" t="s">
        <v>17</v>
      </c>
      <c r="I17" s="158">
        <f>SUMIFS(data[Amount],data[Sales Person],$G17,data[Geography],$D$5)</f>
        <v>24983</v>
      </c>
      <c r="J17" s="158">
        <f>SUMIFS(data[Units],data[Sales Person],$G17, data[Geography],$D$5)</f>
        <v>477</v>
      </c>
      <c r="K17" s="104">
        <f t="shared" si="0"/>
        <v>1</v>
      </c>
    </row>
    <row r="18" spans="7:11">
      <c r="G18" s="46" t="s">
        <v>54</v>
      </c>
      <c r="I18" s="158">
        <f>SUMIFS(data[Amount],data[Sales Person],$G18,data[Geography],$D$5)</f>
        <v>14714</v>
      </c>
      <c r="J18" s="158">
        <f>SUMIFS(data[Units],data[Sales Person],$G18, data[Geography],$D$5)</f>
        <v>915</v>
      </c>
      <c r="K18" s="104">
        <f t="shared" si="0"/>
        <v>1</v>
      </c>
    </row>
    <row r="19" spans="7:11" ht="15" thickBot="1">
      <c r="G19" s="47" t="s">
        <v>7</v>
      </c>
      <c r="H19" s="48"/>
      <c r="I19" s="159">
        <f>SUMIFS(data[Amount],data[Sales Person],$G19,data[Geography],$D$5)</f>
        <v>20097</v>
      </c>
      <c r="J19" s="159">
        <f>SUMIFS(data[Units],data[Sales Person],$G19, data[Geography],$D$5)</f>
        <v>711</v>
      </c>
      <c r="K19" s="105">
        <f t="shared" si="0"/>
        <v>1</v>
      </c>
    </row>
  </sheetData>
  <mergeCells count="5">
    <mergeCell ref="A1:M3"/>
    <mergeCell ref="B5:C5"/>
    <mergeCell ref="B7:D7"/>
    <mergeCell ref="G7:K7"/>
    <mergeCell ref="N1:O3"/>
  </mergeCells>
  <conditionalFormatting sqref="D5">
    <cfRule type="dataBar" priority="4">
      <dataBar>
        <cfvo type="min"/>
        <cfvo type="max"/>
        <color rgb="FFD6007B"/>
      </dataBar>
      <extLst>
        <ext xmlns:x14="http://schemas.microsoft.com/office/spreadsheetml/2009/9/main" uri="{B025F937-C7B1-47D3-B67F-A62EFF666E3E}">
          <x14:id>{E3D42A63-FD1F-4C35-901D-9014F2D2372C}</x14:id>
        </ext>
      </extLst>
    </cfRule>
  </conditionalFormatting>
  <conditionalFormatting sqref="K9">
    <cfRule type="iconSet" priority="1">
      <iconSet iconSet="3Symbols" showValue="0">
        <cfvo type="percent" val="0"/>
        <cfvo type="num" val="0"/>
        <cfvo type="num" val="0"/>
      </iconSet>
    </cfRule>
  </conditionalFormatting>
  <conditionalFormatting sqref="K10:K19">
    <cfRule type="iconSet" priority="2">
      <iconSet iconSet="3Symbols2" showValue="0">
        <cfvo type="percent" val="0"/>
        <cfvo type="num" val="1"/>
        <cfvo type="num" val="1"/>
      </iconSet>
    </cfRule>
  </conditionalFormatting>
  <dataValidations count="1">
    <dataValidation type="list" allowBlank="1" showInputMessage="1" showErrorMessage="1" sqref="D5" xr:uid="{955E27EF-5379-427B-8BC1-8D493ED35F42}">
      <formula1>$M$7:$M$13</formula1>
    </dataValidation>
  </dataValidations>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dataBar" id="{E3D42A63-FD1F-4C35-901D-9014F2D2372C}">
            <x14:dataBar minLength="0" maxLength="100" border="1" negativeBarBorderColorSameAsPositive="0">
              <x14:cfvo type="autoMin"/>
              <x14:cfvo type="autoMax"/>
              <x14:borderColor rgb="FFD6007B"/>
              <x14:negativeFillColor rgb="FFFF0000"/>
              <x14:negativeBorderColor rgb="FFFF0000"/>
              <x14:axisColor rgb="FF000000"/>
            </x14:dataBar>
          </x14:cfRule>
          <xm:sqref>D5</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2B84B-7B34-474E-9321-89CD0AD4ACD1}">
  <dimension ref="A1:K29"/>
  <sheetViews>
    <sheetView tabSelected="1" zoomScale="85" zoomScaleNormal="85" workbookViewId="0">
      <selection activeCell="I25" sqref="I25"/>
    </sheetView>
  </sheetViews>
  <sheetFormatPr defaultRowHeight="14.4"/>
  <cols>
    <col min="2" max="2" width="20.77734375" bestFit="1" customWidth="1"/>
    <col min="3" max="3" width="17.77734375" bestFit="1" customWidth="1"/>
    <col min="4" max="4" width="14.88671875" bestFit="1" customWidth="1"/>
    <col min="5" max="5" width="13.6640625" bestFit="1" customWidth="1"/>
    <col min="6" max="6" width="10.21875" style="15" bestFit="1" customWidth="1"/>
  </cols>
  <sheetData>
    <row r="1" spans="1:11">
      <c r="A1" s="120" t="s">
        <v>90</v>
      </c>
      <c r="B1" s="120"/>
      <c r="C1" s="120"/>
      <c r="D1" s="120"/>
      <c r="E1" s="120"/>
      <c r="F1" s="120"/>
      <c r="G1" s="120"/>
      <c r="H1" s="120"/>
      <c r="I1" s="120"/>
      <c r="J1" s="120"/>
      <c r="K1" s="120"/>
    </row>
    <row r="2" spans="1:11">
      <c r="A2" s="120"/>
      <c r="B2" s="120"/>
      <c r="C2" s="120"/>
      <c r="D2" s="120"/>
      <c r="E2" s="120"/>
      <c r="F2" s="120"/>
      <c r="G2" s="120"/>
      <c r="H2" s="120"/>
      <c r="I2" s="120"/>
      <c r="J2" s="120"/>
      <c r="K2" s="120"/>
    </row>
    <row r="3" spans="1:11">
      <c r="A3" s="120"/>
      <c r="B3" s="120"/>
      <c r="C3" s="120"/>
      <c r="D3" s="120"/>
      <c r="E3" s="120"/>
      <c r="F3" s="120"/>
      <c r="G3" s="120"/>
      <c r="H3" s="120"/>
      <c r="I3" s="120"/>
      <c r="J3" s="120"/>
      <c r="K3" s="120"/>
    </row>
    <row r="5" spans="1:11" ht="15" thickBot="1"/>
    <row r="6" spans="1:11" ht="15" thickBot="1">
      <c r="B6" s="56" t="s">
        <v>68</v>
      </c>
      <c r="C6" s="59" t="s">
        <v>69</v>
      </c>
      <c r="D6" s="56" t="s">
        <v>70</v>
      </c>
      <c r="E6" s="114" t="s">
        <v>79</v>
      </c>
      <c r="F6" s="108" t="s">
        <v>91</v>
      </c>
    </row>
    <row r="7" spans="1:11">
      <c r="B7" s="57" t="s">
        <v>18</v>
      </c>
      <c r="C7" s="163">
        <v>33551</v>
      </c>
      <c r="D7" s="165">
        <v>1566</v>
      </c>
      <c r="E7" s="115">
        <v>14946.919999999998</v>
      </c>
      <c r="F7" s="54">
        <v>0.44549849482876808</v>
      </c>
    </row>
    <row r="8" spans="1:11">
      <c r="B8" s="58" t="s">
        <v>48</v>
      </c>
      <c r="C8" s="164">
        <v>35378</v>
      </c>
      <c r="D8" s="166">
        <v>1044</v>
      </c>
      <c r="E8" s="37">
        <v>30189.32</v>
      </c>
      <c r="F8" s="52">
        <v>0.85333597150771667</v>
      </c>
    </row>
    <row r="9" spans="1:11">
      <c r="B9" s="58" t="s">
        <v>44</v>
      </c>
      <c r="C9" s="164">
        <v>37772</v>
      </c>
      <c r="D9" s="166">
        <v>1308</v>
      </c>
      <c r="E9" s="37">
        <v>26000</v>
      </c>
      <c r="F9" s="52">
        <v>0.68834056973419466</v>
      </c>
    </row>
    <row r="10" spans="1:11">
      <c r="B10" s="58" t="s">
        <v>34</v>
      </c>
      <c r="C10" s="164">
        <v>39263</v>
      </c>
      <c r="D10" s="166">
        <v>1683</v>
      </c>
      <c r="E10" s="37">
        <v>29518.43</v>
      </c>
      <c r="F10" s="52">
        <v>0.75181290273285284</v>
      </c>
      <c r="G10" s="11" t="s">
        <v>61</v>
      </c>
    </row>
    <row r="11" spans="1:11">
      <c r="B11" s="58" t="s">
        <v>16</v>
      </c>
      <c r="C11" s="164">
        <v>43183</v>
      </c>
      <c r="D11" s="166">
        <v>2022</v>
      </c>
      <c r="E11" s="37">
        <v>19525.600000000002</v>
      </c>
      <c r="F11" s="52">
        <v>0.45215941458444298</v>
      </c>
    </row>
    <row r="12" spans="1:11">
      <c r="B12" s="58" t="s">
        <v>38</v>
      </c>
      <c r="C12" s="164">
        <v>44744</v>
      </c>
      <c r="D12" s="166">
        <v>1956</v>
      </c>
      <c r="E12" s="37">
        <v>29800.160000000003</v>
      </c>
      <c r="F12" s="52">
        <v>0.66601466118362251</v>
      </c>
    </row>
    <row r="13" spans="1:11">
      <c r="B13" s="58" t="s">
        <v>11</v>
      </c>
      <c r="C13" s="164">
        <v>47271</v>
      </c>
      <c r="D13" s="166">
        <v>1881</v>
      </c>
      <c r="E13" s="37">
        <v>29721.27</v>
      </c>
      <c r="F13" s="52">
        <v>0.62874214634765502</v>
      </c>
    </row>
    <row r="14" spans="1:11">
      <c r="B14" s="58" t="s">
        <v>22</v>
      </c>
      <c r="C14" s="164">
        <v>52150</v>
      </c>
      <c r="D14" s="166">
        <v>1752</v>
      </c>
      <c r="E14" s="37">
        <v>40814.559999999998</v>
      </c>
      <c r="F14" s="52">
        <v>0.78263777564717163</v>
      </c>
    </row>
    <row r="15" spans="1:11">
      <c r="B15" s="58" t="s">
        <v>41</v>
      </c>
      <c r="C15" s="164">
        <v>54712</v>
      </c>
      <c r="D15" s="166">
        <v>2196</v>
      </c>
      <c r="E15" s="37">
        <v>31390.480000000003</v>
      </c>
      <c r="F15" s="52">
        <v>0.57374031291124439</v>
      </c>
    </row>
    <row r="16" spans="1:11">
      <c r="B16" s="58" t="s">
        <v>47</v>
      </c>
      <c r="C16" s="164">
        <v>56644</v>
      </c>
      <c r="D16" s="166">
        <v>1812</v>
      </c>
      <c r="E16" s="37">
        <v>44884.12</v>
      </c>
      <c r="F16" s="52">
        <v>0.79238966174705183</v>
      </c>
    </row>
    <row r="17" spans="2:7">
      <c r="B17" s="58" t="s">
        <v>27</v>
      </c>
      <c r="C17" s="164">
        <v>57372</v>
      </c>
      <c r="D17" s="166">
        <v>2106</v>
      </c>
      <c r="E17" s="37">
        <v>29678.099999999995</v>
      </c>
      <c r="F17" s="52">
        <v>0.51729240744614091</v>
      </c>
    </row>
    <row r="18" spans="2:7">
      <c r="B18" s="58" t="s">
        <v>51</v>
      </c>
      <c r="C18" s="164">
        <v>58009</v>
      </c>
      <c r="D18" s="166">
        <v>2976</v>
      </c>
      <c r="E18" s="37">
        <v>36700.840000000004</v>
      </c>
      <c r="F18" s="52">
        <v>0.6326749297522799</v>
      </c>
      <c r="G18" s="11" t="s">
        <v>61</v>
      </c>
    </row>
    <row r="19" spans="2:7">
      <c r="B19" s="58" t="s">
        <v>29</v>
      </c>
      <c r="C19" s="164">
        <v>62111</v>
      </c>
      <c r="D19" s="166">
        <v>2154</v>
      </c>
      <c r="E19" s="37">
        <v>43177.340000000004</v>
      </c>
      <c r="F19" s="52">
        <v>0.6951641416174269</v>
      </c>
    </row>
    <row r="20" spans="2:7">
      <c r="B20" s="58" t="s">
        <v>32</v>
      </c>
      <c r="C20" s="164">
        <v>63721</v>
      </c>
      <c r="D20" s="166">
        <v>2331</v>
      </c>
      <c r="E20" s="37">
        <v>56471.590000000004</v>
      </c>
      <c r="F20" s="52">
        <v>0.88623201142480512</v>
      </c>
    </row>
    <row r="21" spans="2:7">
      <c r="B21" s="58" t="s">
        <v>36</v>
      </c>
      <c r="C21" s="164">
        <v>66283</v>
      </c>
      <c r="D21" s="166">
        <v>2052</v>
      </c>
      <c r="E21" s="37">
        <v>46234.960000000006</v>
      </c>
      <c r="F21" s="52">
        <v>0.69753873542235578</v>
      </c>
    </row>
    <row r="22" spans="2:7">
      <c r="B22" s="58" t="s">
        <v>9</v>
      </c>
      <c r="C22" s="164">
        <v>66500</v>
      </c>
      <c r="D22" s="166">
        <v>2802</v>
      </c>
      <c r="E22" s="37">
        <v>25899.020000000011</v>
      </c>
      <c r="F22" s="52">
        <v>0.38945894736842124</v>
      </c>
    </row>
    <row r="23" spans="2:7">
      <c r="B23" s="58" t="s">
        <v>24</v>
      </c>
      <c r="C23" s="164">
        <v>68971</v>
      </c>
      <c r="D23" s="166">
        <v>1533</v>
      </c>
      <c r="E23" s="37">
        <v>50988.91</v>
      </c>
      <c r="F23" s="52">
        <v>0.73928042220643464</v>
      </c>
    </row>
    <row r="24" spans="2:7">
      <c r="B24" s="58" t="s">
        <v>30</v>
      </c>
      <c r="C24" s="164">
        <v>69160</v>
      </c>
      <c r="D24" s="166">
        <v>1854</v>
      </c>
      <c r="E24" s="37">
        <v>46226.020000000004</v>
      </c>
      <c r="F24" s="52">
        <v>0.6683924233661076</v>
      </c>
    </row>
    <row r="25" spans="2:7">
      <c r="B25" s="58" t="s">
        <v>52</v>
      </c>
      <c r="C25" s="164">
        <v>69461</v>
      </c>
      <c r="D25" s="166">
        <v>2982</v>
      </c>
      <c r="E25" s="37">
        <v>19572.14</v>
      </c>
      <c r="F25" s="52">
        <v>0.28177164164063284</v>
      </c>
    </row>
    <row r="26" spans="2:7">
      <c r="B26" s="58" t="s">
        <v>50</v>
      </c>
      <c r="C26" s="164">
        <v>70273</v>
      </c>
      <c r="D26" s="166">
        <v>2142</v>
      </c>
      <c r="E26" s="37">
        <v>58277.8</v>
      </c>
      <c r="F26" s="52">
        <v>0.82930570773981471</v>
      </c>
    </row>
    <row r="27" spans="2:7">
      <c r="B27" s="58" t="s">
        <v>14</v>
      </c>
      <c r="C27" s="164">
        <v>71967</v>
      </c>
      <c r="D27" s="166">
        <v>2301</v>
      </c>
      <c r="E27" s="37">
        <v>52063.35</v>
      </c>
      <c r="F27" s="52">
        <v>0.72343365709283425</v>
      </c>
    </row>
    <row r="28" spans="2:7" ht="15" thickBot="1">
      <c r="B28" s="31" t="s">
        <v>53</v>
      </c>
      <c r="C28" s="164">
        <v>72373</v>
      </c>
      <c r="D28" s="166">
        <v>3207</v>
      </c>
      <c r="E28" s="37">
        <v>39084.340000000004</v>
      </c>
      <c r="F28" s="52">
        <v>0.54004034653807365</v>
      </c>
    </row>
    <row r="29" spans="2:7" ht="15" thickBot="1">
      <c r="B29" s="36" t="s">
        <v>74</v>
      </c>
      <c r="C29" s="167">
        <v>1240869</v>
      </c>
      <c r="D29" s="168">
        <v>45660</v>
      </c>
      <c r="E29" s="170">
        <v>801165.2699999999</v>
      </c>
      <c r="F29" s="169">
        <v>0.64564854952456696</v>
      </c>
    </row>
  </sheetData>
  <autoFilter ref="B6:G29" xr:uid="{37E2B84B-7B34-474E-9321-89CD0AD4ACD1}"/>
  <mergeCells count="1">
    <mergeCell ref="A1:K3"/>
  </mergeCells>
  <conditionalFormatting sqref="F1:F6 F30:F1048576">
    <cfRule type="colorScale" priority="2">
      <colorScale>
        <cfvo type="min"/>
        <cfvo type="max"/>
        <color rgb="FFFCFCFF"/>
        <color rgb="FF63BE7B"/>
      </colorScale>
    </cfRule>
    <cfRule type="colorScale" priority="3">
      <colorScale>
        <cfvo type="min"/>
        <cfvo type="max"/>
        <color rgb="FFFCFCFF"/>
        <color rgb="FF63BE7B"/>
      </colorScale>
    </cfRule>
    <cfRule type="colorScale" priority="4">
      <colorScale>
        <cfvo type="min"/>
        <cfvo type="max"/>
        <color rgb="FFFCFCFF"/>
        <color rgb="FF63BE7B"/>
      </colorScale>
    </cfRule>
    <cfRule type="colorScale" priority="5">
      <colorScale>
        <cfvo type="min"/>
        <cfvo type="max"/>
        <color rgb="FFFCFCFF"/>
        <color rgb="FF63BE7B"/>
      </colorScale>
    </cfRule>
  </conditionalFormatting>
  <conditionalFormatting sqref="F6">
    <cfRule type="colorScale" priority="1">
      <colorScale>
        <cfvo type="min"/>
        <cfvo type="max"/>
        <color rgb="FFFCFCFF"/>
        <color rgb="FF63BE7B"/>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Data</vt:lpstr>
      <vt:lpstr>Sheet1</vt:lpstr>
      <vt:lpstr>Sheet2</vt:lpstr>
      <vt:lpstr>Sheet3</vt:lpstr>
      <vt:lpstr>Detail1</vt:lpstr>
      <vt:lpstr>Detail2</vt:lpstr>
      <vt:lpstr>Sheet4</vt:lpstr>
      <vt:lpstr>Sheet5</vt:lpstr>
      <vt:lpstr>Sheet6</vt:lpstr>
      <vt:lpstr>Detail3</vt:lpstr>
      <vt:lpstr>Sheet7</vt:lpstr>
      <vt:lpstr>Sheet8</vt:lpstr>
      <vt:lpstr>Sheet9</vt:lpstr>
      <vt:lpstr>Sheet10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Derry Hill</dc:creator>
  <cp:lastModifiedBy>Rithika S</cp:lastModifiedBy>
  <cp:lastPrinted>2026-02-13T13:54:00Z</cp:lastPrinted>
  <dcterms:created xsi:type="dcterms:W3CDTF">2021-03-14T20:21:00Z</dcterms:created>
  <dcterms:modified xsi:type="dcterms:W3CDTF">2026-02-18T14:19:40Z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5ACC48E0739745FCB4EB5330CC02CE95_13</vt:lpwstr>
  </property>
  <property fmtid="{D5CDD505-2E9C-101B-9397-08002B2CF9AE}" pid="3" name="KSOProductBuildVer">
    <vt:lpwstr>1033-12.2.0.23196</vt:lpwstr>
  </property>
</Properties>
</file>